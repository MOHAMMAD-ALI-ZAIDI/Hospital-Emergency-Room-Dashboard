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nam-\OneDrive\Documents\"/>
    </mc:Choice>
  </mc:AlternateContent>
  <xr:revisionPtr revIDLastSave="0" documentId="8_{B0AF25AE-C225-4592-8CE7-EBA368C6D636}" xr6:coauthVersionLast="47" xr6:coauthVersionMax="47" xr10:uidLastSave="{00000000-0000-0000-0000-000000000000}"/>
  <bookViews>
    <workbookView xWindow="-108" yWindow="-108" windowWidth="23256" windowHeight="12456" activeTab="1" xr2:uid="{ACBCE6F2-8EAE-4174-92B9-675E01D9C5D0}"/>
  </bookViews>
  <sheets>
    <sheet name="Pivot report" sheetId="1" r:id="rId1"/>
    <sheet name="Dashboard" sheetId="2" r:id="rId2"/>
    <sheet name="Daily ER No. of patient" sheetId="3" r:id="rId3"/>
    <sheet name="Average Wait Time" sheetId="4" r:id="rId4"/>
    <sheet name="Satisfaction score daily trends" sheetId="5"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R_Data_af47933a-63de-4e48-942a-4579d21f8512" name="Hospital ER_Data" connection="Query - Hospital ER_Data"/>
          <x15:modelTable id="Calender_Table_0e5eb403-1261-4e5c-9eea-aac6ea819bae" name="Calender_Table" connection="Query - Calender_Table"/>
        </x15:modelTables>
        <x15:modelRelationships>
          <x15:modelRelationship fromTable="Hospital ER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 l="1"/>
  <c r="C50" i="1"/>
  <c r="A51" i="1"/>
  <c r="A50" i="1"/>
  <c r="C51" i="1"/>
  <c r="B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BB9FAF-81E7-49BB-AD3A-67DD85294C79}" name="Query - Calender_Table" description="Connection to the 'Calender_Table' query in the workbook." type="100" refreshedVersion="8" minRefreshableVersion="5">
    <extLst>
      <ext xmlns:x15="http://schemas.microsoft.com/office/spreadsheetml/2010/11/main" uri="{DE250136-89BD-433C-8126-D09CA5730AF9}">
        <x15:connection id="fc60272f-6b74-456e-a708-2d7658c3991b"/>
      </ext>
    </extLst>
  </connection>
  <connection id="2" xr16:uid="{DD3FEC89-669E-4718-A4D1-8B8FF27A3816}" name="Query - Hospital ER_Data" description="Connection to the 'Hospital ER_Data' query in the workbook." type="100" refreshedVersion="8" minRefreshableVersion="5">
    <extLst>
      <ext xmlns:x15="http://schemas.microsoft.com/office/spreadsheetml/2010/11/main" uri="{DE250136-89BD-433C-8126-D09CA5730AF9}">
        <x15:connection id="778a33ce-ae57-436c-9dde-10ce5be05de2"/>
      </ext>
    </extLst>
  </connection>
  <connection id="3" xr16:uid="{F7E84BD4-9B90-43BA-9D6B-46FD97E13AF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<sst xmlns="http://schemas.openxmlformats.org/spreadsheetml/2006/main" count="149" uniqueCount="73">
  <si>
    <t>Distinct Count of Patient Id</t>
  </si>
  <si>
    <t>No. of Patient</t>
  </si>
  <si>
    <t>Average of Patient Waittime</t>
  </si>
  <si>
    <t>Average of Patient Satisfaction Score</t>
  </si>
  <si>
    <t>Grand Total</t>
  </si>
  <si>
    <t>Row Labels</t>
  </si>
  <si>
    <t>Showing a daily trend with an area sparline to spot patterns like busy or seasonal trends.</t>
  </si>
  <si>
    <t xml:space="preserve"> Uses an area sparkline to track daily changes and highlights days with longer wait times that might need improvements.</t>
  </si>
  <si>
    <t>Uses an area sparline to show trends, spot the drops in satisfaction, and link them to busy times or challenges.</t>
  </si>
  <si>
    <t>Count of Patient Attend Status</t>
  </si>
  <si>
    <t>Admitted</t>
  </si>
  <si>
    <t>Not Admitted</t>
  </si>
  <si>
    <t>Count of Patient Admission Flag</t>
  </si>
  <si>
    <t>Count of Patient Admission Flag2</t>
  </si>
  <si>
    <t>Admission Status</t>
  </si>
  <si>
    <t>No. of patient</t>
  </si>
  <si>
    <t>% status</t>
  </si>
  <si>
    <t>0-09</t>
  </si>
  <si>
    <t>10-19</t>
  </si>
  <si>
    <t>20-29</t>
  </si>
  <si>
    <t>30-39</t>
  </si>
  <si>
    <t>40-49</t>
  </si>
  <si>
    <t>50-59</t>
  </si>
  <si>
    <t>60-69</t>
  </si>
  <si>
    <t>70-79</t>
  </si>
  <si>
    <t>Count of Patient Id</t>
  </si>
  <si>
    <t>No. of Patient by Age Group</t>
  </si>
  <si>
    <t>On Time</t>
  </si>
  <si>
    <t>Delay</t>
  </si>
  <si>
    <t>Count of Patient Gender</t>
  </si>
  <si>
    <t>Female</t>
  </si>
  <si>
    <t>Male</t>
  </si>
  <si>
    <t>Cardiology</t>
  </si>
  <si>
    <t>Gastroenterology</t>
  </si>
  <si>
    <t>General Practice</t>
  </si>
  <si>
    <t>Neurology</t>
  </si>
  <si>
    <t>None</t>
  </si>
  <si>
    <t>Orthopedics</t>
  </si>
  <si>
    <t>Physiotherapy</t>
  </si>
  <si>
    <t>Renal</t>
  </si>
  <si>
    <t>Count of Department Referral</t>
  </si>
  <si>
    <t>2024</t>
  </si>
  <si>
    <t>NC</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</si>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</sst>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0" tint="-4.9989318521683403E-2"/>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rgb="FF0070C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0" fillId="0" borderId="0" xfId="0" pivotButton="1"/>
    <xf numFmtId="2" fontId="0" fillId="0" borderId="0" xfId="0" applyNumberFormat="1"/>
    <xf numFmtId="0" fontId="0" fillId="2" borderId="0" xfId="0" applyFill="1" applyAlignment="1">
      <alignment horizontal="center"/>
    </xf>
    <xf numFmtId="0" fontId="0" fillId="3" borderId="0" xfId="0" applyFill="1"/>
    <xf numFmtId="0" fontId="0" fillId="0" borderId="0" xfId="0" applyAlignment="1">
      <alignment horizontal="left"/>
    </xf>
    <xf numFmtId="0" fontId="0" fillId="2" borderId="0" xfId="0" applyFill="1"/>
    <xf numFmtId="0" fontId="0" fillId="4" borderId="0" xfId="0" applyFill="1"/>
    <xf numFmtId="0" fontId="1" fillId="5" borderId="1" xfId="0" applyFont="1" applyFill="1" applyBorder="1"/>
    <xf numFmtId="10" fontId="0" fillId="0" borderId="0" xfId="0" applyNumberFormat="1"/>
    <xf numFmtId="0" fontId="2" fillId="0" borderId="0" xfId="0" applyFont="1"/>
    <xf numFmtId="0" fontId="2" fillId="6" borderId="0" xfId="0" applyFont="1" applyFill="1" applyAlignment="1">
      <alignment horizontal="center"/>
    </xf>
    <xf numFmtId="0" fontId="0" fillId="3" borderId="0" xfId="0" applyFill="1" applyAlignment="1">
      <alignment horizontal="center"/>
    </xf>
    <xf numFmtId="1" fontId="0" fillId="0" borderId="0" xfId="0" applyNumberFormat="1"/>
    <xf numFmtId="0" fontId="0" fillId="0" borderId="0" xfId="0" applyNumberFormat="1"/>
  </cellXfs>
  <cellStyles count="1">
    <cellStyle name="Normal" xfId="0" builtinId="0"/>
  </cellStyles>
  <dxfs count="30">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7894DFD0-9BE7-4C4E-825A-2182184317AB}">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9CD3A3-686F-498F-A7E3-461B9148E9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layout>
            <c:manualLayout>
              <c:x val="0"/>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7C813C-8462-4101-855D-FF938EC5194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9CD3A3-686F-498F-A7E3-461B9148E9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layout>
            <c:manualLayout>
              <c:x val="0"/>
              <c:y val="-4.2437781360066642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7C813C-8462-4101-855D-FF938EC5194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9"/>
        <c:spPr>
          <a:solidFill>
            <a:schemeClr val="accent1"/>
          </a:solidFill>
          <a:ln>
            <a:noFill/>
          </a:ln>
          <a:effectLst/>
        </c:spPr>
        <c:dLbl>
          <c:idx val="0"/>
          <c:layout>
            <c:manualLayout>
              <c:x val="4.272651402445662E-4"/>
              <c:y val="0"/>
            </c:manualLayout>
          </c:layout>
          <c:tx>
            <c:rich>
              <a:bodyPr rot="0" spcFirstLastPara="1" vertOverflow="ellipsis" vert="horz" wrap="none" lIns="38100" tIns="19050" rIns="38100" bIns="19050" anchor="ctr" anchorCtr="1">
                <a:noAutofit/>
              </a:bodyPr>
              <a:lstStyle/>
              <a:p>
                <a:pPr>
                  <a:defRPr sz="100" b="0" i="0" u="none" strike="noStrike" kern="1200" baseline="0">
                    <a:solidFill>
                      <a:schemeClr val="tx1">
                        <a:lumMod val="75000"/>
                        <a:lumOff val="25000"/>
                      </a:schemeClr>
                    </a:solidFill>
                    <a:latin typeface="+mn-lt"/>
                    <a:ea typeface="+mn-ea"/>
                    <a:cs typeface="+mn-cs"/>
                  </a:defRPr>
                </a:pPr>
                <a:fld id="{06F2D776-CF6C-418A-8736-20AA515A267E}" type="CELLRANGE">
                  <a:rPr lang="en-US" sz="800"/>
                  <a:pPr>
                    <a:defRPr sz="1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562453286054475"/>
                  <c:h val="0.36997226761749119"/>
                </c:manualLayout>
              </c15:layout>
              <c15:dlblFieldTable/>
              <c15:showDataLabelsRange val="1"/>
            </c:ext>
          </c:extLst>
        </c:dLbl>
      </c:pivotFmt>
      <c:pivotFmt>
        <c:idx val="10"/>
        <c:spPr>
          <a:solidFill>
            <a:schemeClr val="accent1"/>
          </a:solidFill>
          <a:ln>
            <a:noFill/>
          </a:ln>
          <a:effectLst/>
        </c:spPr>
        <c:dLbl>
          <c:idx val="0"/>
          <c:layout>
            <c:manualLayout>
              <c:x val="0"/>
              <c:y val="-9.4339622641509455E-2"/>
            </c:manualLayout>
          </c:layout>
          <c:tx>
            <c:rich>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fld id="{A3276958-AEA0-420F-A581-27732EEF5897}" type="CELLRANGE">
                  <a:rPr lang="en-US" sz="800"/>
                  <a:pPr>
                    <a:defRPr sz="1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226312335958005"/>
          <c:y val="3.8374684296538404E-2"/>
          <c:w val="0.72603201713756371"/>
          <c:h val="0.94584153543307081"/>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9DC-44A2-A59C-E6F0A7E05BFB}"/>
              </c:ext>
            </c:extLst>
          </c:dPt>
          <c:dPt>
            <c:idx val="1"/>
            <c:invertIfNegative val="0"/>
            <c:bubble3D val="0"/>
            <c:extLst>
              <c:ext xmlns:c16="http://schemas.microsoft.com/office/drawing/2014/chart" uri="{C3380CC4-5D6E-409C-BE32-E72D297353CC}">
                <c16:uniqueId val="{00000001-F9DC-44A2-A59C-E6F0A7E05BFB}"/>
              </c:ext>
            </c:extLst>
          </c:dPt>
          <c:dLbls>
            <c:dLbl>
              <c:idx val="0"/>
              <c:layout>
                <c:manualLayout>
                  <c:x val="4.272651402445662E-4"/>
                  <c:y val="0"/>
                </c:manualLayout>
              </c:layout>
              <c:tx>
                <c:rich>
                  <a:bodyPr rot="0" spcFirstLastPara="1" vertOverflow="ellipsis" vert="horz" wrap="none" lIns="38100" tIns="19050" rIns="38100" bIns="19050" anchor="ctr" anchorCtr="1">
                    <a:noAutofit/>
                  </a:bodyPr>
                  <a:lstStyle/>
                  <a:p>
                    <a:pPr>
                      <a:defRPr sz="100" b="0" i="0" u="none" strike="noStrike" kern="1200" baseline="0">
                        <a:solidFill>
                          <a:schemeClr val="tx1">
                            <a:lumMod val="75000"/>
                            <a:lumOff val="25000"/>
                          </a:schemeClr>
                        </a:solidFill>
                        <a:latin typeface="+mn-lt"/>
                        <a:ea typeface="+mn-ea"/>
                        <a:cs typeface="+mn-cs"/>
                      </a:defRPr>
                    </a:pPr>
                    <a:fld id="{06F2D776-CF6C-418A-8736-20AA515A267E}" type="CELLRANGE">
                      <a:rPr lang="en-US" sz="800"/>
                      <a:pPr>
                        <a:defRPr sz="1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562453286054475"/>
                      <c:h val="0.36997226761749119"/>
                    </c:manualLayout>
                  </c15:layout>
                  <c15:dlblFieldTable/>
                  <c15:showDataLabelsRange val="1"/>
                </c:ext>
                <c:ext xmlns:c16="http://schemas.microsoft.com/office/drawing/2014/chart" uri="{C3380CC4-5D6E-409C-BE32-E72D297353CC}">
                  <c16:uniqueId val="{00000000-F9DC-44A2-A59C-E6F0A7E05BFB}"/>
                </c:ext>
              </c:extLst>
            </c:dLbl>
            <c:dLbl>
              <c:idx val="1"/>
              <c:layout>
                <c:manualLayout>
                  <c:x val="0"/>
                  <c:y val="-9.4339622641509455E-2"/>
                </c:manualLayout>
              </c:layout>
              <c:tx>
                <c:rich>
                  <a:bodyPr/>
                  <a:lstStyle/>
                  <a:p>
                    <a:fld id="{A3276958-AEA0-420F-A581-27732EEF5897}"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9DC-44A2-A59C-E6F0A7E05BFB}"/>
                </c:ext>
              </c:extLst>
            </c:dLbl>
            <c:spPr>
              <a:noFill/>
              <a:ln>
                <a:noFill/>
              </a:ln>
              <a:effectLst/>
            </c:spPr>
            <c:txPr>
              <a:bodyPr rot="0" spcFirstLastPara="1" vertOverflow="ellipsis" vert="horz" wrap="non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report'!$C$43:$C$44</c:f>
              <c:strCache>
                <c:ptCount val="2"/>
                <c:pt idx="0">
                  <c:v>Admitted</c:v>
                </c:pt>
                <c:pt idx="1">
                  <c:v>Not Admitted</c:v>
                </c:pt>
              </c:strCache>
            </c:strRef>
          </c:cat>
          <c:val>
            <c:numRef>
              <c:f>'Pivot report'!$C$43:$C$44</c:f>
              <c:numCache>
                <c:formatCode>0.00</c:formatCode>
                <c:ptCount val="2"/>
                <c:pt idx="0">
                  <c:v>217</c:v>
                </c:pt>
                <c:pt idx="1">
                  <c:v>252</c:v>
                </c:pt>
              </c:numCache>
            </c:numRef>
          </c:val>
          <c:extLst>
            <c:ext xmlns:c15="http://schemas.microsoft.com/office/drawing/2012/chart" uri="{02D57815-91ED-43cb-92C2-25804820EDAC}">
              <c15:datalabelsRange>
                <c15:f>'Pivot report'!$C$43:$C$44</c15:f>
                <c15:dlblRangeCache>
                  <c:ptCount val="2"/>
                  <c:pt idx="0">
                    <c:v>46.27%</c:v>
                  </c:pt>
                  <c:pt idx="1">
                    <c:v>53.73%</c:v>
                  </c:pt>
                </c15:dlblRangeCache>
              </c15:datalabelsRange>
            </c:ext>
            <c:ext xmlns:c16="http://schemas.microsoft.com/office/drawing/2014/chart" uri="{C3380CC4-5D6E-409C-BE32-E72D297353CC}">
              <c16:uniqueId val="{00000002-F9DC-44A2-A59C-E6F0A7E05BFB}"/>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Admitted</c:v>
                </c:pt>
                <c:pt idx="1">
                  <c:v>Not Admitted</c:v>
                </c:pt>
              </c:strCache>
            </c:strRef>
          </c:cat>
          <c:val>
            <c:numRef>
              <c:f>'Pivot report'!$C$43:$C$44</c:f>
              <c:numCache>
                <c:formatCode>0.00%</c:formatCode>
                <c:ptCount val="2"/>
                <c:pt idx="0">
                  <c:v>0.46268656716417911</c:v>
                </c:pt>
                <c:pt idx="1">
                  <c:v>0.53731343283582089</c:v>
                </c:pt>
              </c:numCache>
            </c:numRef>
          </c:val>
          <c:extLst>
            <c:ext xmlns:c16="http://schemas.microsoft.com/office/drawing/2014/chart" uri="{C3380CC4-5D6E-409C-BE32-E72D297353CC}">
              <c16:uniqueId val="{00000003-F9DC-44A2-A59C-E6F0A7E05BFB}"/>
            </c:ext>
          </c:extLst>
        </c:ser>
        <c:dLbls>
          <c:showLegendKey val="0"/>
          <c:showVal val="0"/>
          <c:showCatName val="0"/>
          <c:showSerName val="0"/>
          <c:showPercent val="0"/>
          <c:showBubbleSize val="0"/>
        </c:dLbls>
        <c:gapWidth val="0"/>
        <c:overlap val="-6"/>
        <c:axId val="2105888128"/>
        <c:axId val="2105885248"/>
      </c:barChart>
      <c:catAx>
        <c:axId val="2105888128"/>
        <c:scaling>
          <c:orientation val="minMax"/>
        </c:scaling>
        <c:delete val="1"/>
        <c:axPos val="l"/>
        <c:numFmt formatCode="General" sourceLinked="1"/>
        <c:majorTickMark val="none"/>
        <c:minorTickMark val="none"/>
        <c:tickLblPos val="nextTo"/>
        <c:crossAx val="2105885248"/>
        <c:crosses val="autoZero"/>
        <c:auto val="1"/>
        <c:lblAlgn val="ctr"/>
        <c:lblOffset val="100"/>
        <c:noMultiLvlLbl val="0"/>
      </c:catAx>
      <c:valAx>
        <c:axId val="2105885248"/>
        <c:scaling>
          <c:orientation val="minMax"/>
        </c:scaling>
        <c:delete val="1"/>
        <c:axPos val="b"/>
        <c:numFmt formatCode="0.00" sourceLinked="1"/>
        <c:majorTickMark val="none"/>
        <c:minorTickMark val="none"/>
        <c:tickLblPos val="nextTo"/>
        <c:crossAx val="210588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8550909918548"/>
          <c:y val="0.30739786067346303"/>
          <c:w val="0.85046714300011583"/>
          <c:h val="0.66406713245351379"/>
        </c:manualLayout>
      </c:layout>
      <c:areaChart>
        <c:grouping val="standard"/>
        <c:varyColors val="0"/>
        <c:ser>
          <c:idx val="0"/>
          <c:order val="0"/>
          <c:tx>
            <c:strRef>
              <c:f>'Pivot report'!$F$7</c:f>
              <c:strCache>
                <c:ptCount val="1"/>
                <c:pt idx="0">
                  <c:v>Total</c:v>
                </c:pt>
              </c:strCache>
            </c:strRef>
          </c:tx>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 report'!$E$8:$E$38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report'!$F$8:$F$38</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709D-4A9A-B9FB-DA9A35CB6000}"/>
            </c:ext>
          </c:extLst>
        </c:ser>
        <c:dLbls>
          <c:showLegendKey val="0"/>
          <c:showVal val="0"/>
          <c:showCatName val="0"/>
          <c:showSerName val="0"/>
          <c:showPercent val="0"/>
          <c:showBubbleSize val="0"/>
        </c:dLbls>
        <c:axId val="757097552"/>
        <c:axId val="757098032"/>
      </c:areaChart>
      <c:catAx>
        <c:axId val="757097552"/>
        <c:scaling>
          <c:orientation val="minMax"/>
        </c:scaling>
        <c:delete val="1"/>
        <c:axPos val="b"/>
        <c:numFmt formatCode="General" sourceLinked="1"/>
        <c:majorTickMark val="out"/>
        <c:minorTickMark val="none"/>
        <c:tickLblPos val="nextTo"/>
        <c:crossAx val="757098032"/>
        <c:crosses val="autoZero"/>
        <c:auto val="1"/>
        <c:lblAlgn val="ctr"/>
        <c:lblOffset val="100"/>
        <c:noMultiLvlLbl val="0"/>
      </c:catAx>
      <c:valAx>
        <c:axId val="757098032"/>
        <c:scaling>
          <c:orientation val="minMax"/>
        </c:scaling>
        <c:delete val="1"/>
        <c:axPos val="l"/>
        <c:numFmt formatCode="General" sourceLinked="1"/>
        <c:majorTickMark val="none"/>
        <c:minorTickMark val="none"/>
        <c:tickLblPos val="nextTo"/>
        <c:crossAx val="75709755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7556935817805"/>
          <c:y val="7.575757575757576E-2"/>
          <c:w val="0.78260869565217384"/>
          <c:h val="0.57313588642328794"/>
        </c:manualLayout>
      </c:layout>
      <c:areaChart>
        <c:grouping val="standard"/>
        <c:varyColors val="0"/>
        <c:ser>
          <c:idx val="0"/>
          <c:order val="0"/>
          <c:tx>
            <c:strRef>
              <c:f>'Pivot report'!$M$6</c:f>
              <c:strCache>
                <c:ptCount val="1"/>
                <c:pt idx="0">
                  <c:v>Total</c:v>
                </c:pt>
              </c:strCache>
            </c:strRef>
          </c:tx>
          <c:spPr>
            <a:solidFill>
              <a:schemeClr val="accent1"/>
            </a:solidFill>
            <a:ln>
              <a:noFill/>
            </a:ln>
            <a:effectLst/>
          </c:spPr>
          <c:cat>
            <c:strRef>
              <c:f>'Pivot report'!$L$7:$L$37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report'!$M$7:$M$37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A579-49C2-BC85-C69E7B059743}"/>
            </c:ext>
          </c:extLst>
        </c:ser>
        <c:dLbls>
          <c:showLegendKey val="0"/>
          <c:showVal val="0"/>
          <c:showCatName val="0"/>
          <c:showSerName val="0"/>
          <c:showPercent val="0"/>
          <c:showBubbleSize val="0"/>
        </c:dLbls>
        <c:axId val="810243856"/>
        <c:axId val="810244336"/>
      </c:areaChart>
      <c:catAx>
        <c:axId val="810243856"/>
        <c:scaling>
          <c:orientation val="minMax"/>
        </c:scaling>
        <c:delete val="1"/>
        <c:axPos val="b"/>
        <c:numFmt formatCode="General" sourceLinked="1"/>
        <c:majorTickMark val="out"/>
        <c:minorTickMark val="none"/>
        <c:tickLblPos val="nextTo"/>
        <c:crossAx val="810244336"/>
        <c:crosses val="autoZero"/>
        <c:auto val="1"/>
        <c:lblAlgn val="ctr"/>
        <c:lblOffset val="100"/>
        <c:noMultiLvlLbl val="0"/>
      </c:catAx>
      <c:valAx>
        <c:axId val="810244336"/>
        <c:scaling>
          <c:orientation val="minMax"/>
        </c:scaling>
        <c:delete val="1"/>
        <c:axPos val="l"/>
        <c:numFmt formatCode="0.00" sourceLinked="1"/>
        <c:majorTickMark val="none"/>
        <c:minorTickMark val="none"/>
        <c:tickLblPos val="nextTo"/>
        <c:crossAx val="81024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4042441374271E-2"/>
          <c:y val="0.11871681669316332"/>
          <c:w val="0.90361118224861126"/>
          <c:h val="0.80748957981742098"/>
        </c:manualLayout>
      </c:layout>
      <c:areaChart>
        <c:grouping val="standard"/>
        <c:varyColors val="0"/>
        <c:ser>
          <c:idx val="0"/>
          <c:order val="0"/>
          <c:tx>
            <c:strRef>
              <c:f>'Pivot report'!$Q$5</c:f>
              <c:strCache>
                <c:ptCount val="1"/>
                <c:pt idx="0">
                  <c:v>Total</c:v>
                </c:pt>
              </c:strCache>
            </c:strRef>
          </c:tx>
          <c:spPr>
            <a:solidFill>
              <a:schemeClr val="accent1"/>
            </a:solidFill>
            <a:ln>
              <a:noFill/>
            </a:ln>
            <a:effectLst/>
          </c:spPr>
          <c:cat>
            <c:strRef>
              <c:f>'Pivot report'!$P$6:$P$33</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report'!$Q$6:$Q$33</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2066-4055-97C8-54CBEA4744AF}"/>
            </c:ext>
          </c:extLst>
        </c:ser>
        <c:dLbls>
          <c:showLegendKey val="0"/>
          <c:showVal val="0"/>
          <c:showCatName val="0"/>
          <c:showSerName val="0"/>
          <c:showPercent val="0"/>
          <c:showBubbleSize val="0"/>
        </c:dLbls>
        <c:axId val="886759088"/>
        <c:axId val="886773008"/>
      </c:areaChart>
      <c:catAx>
        <c:axId val="886759088"/>
        <c:scaling>
          <c:orientation val="minMax"/>
        </c:scaling>
        <c:delete val="1"/>
        <c:axPos val="b"/>
        <c:numFmt formatCode="General" sourceLinked="1"/>
        <c:majorTickMark val="out"/>
        <c:minorTickMark val="none"/>
        <c:tickLblPos val="nextTo"/>
        <c:crossAx val="886773008"/>
        <c:crosses val="autoZero"/>
        <c:auto val="1"/>
        <c:lblAlgn val="ctr"/>
        <c:lblOffset val="100"/>
        <c:noMultiLvlLbl val="0"/>
      </c:catAx>
      <c:valAx>
        <c:axId val="886773008"/>
        <c:scaling>
          <c:orientation val="minMax"/>
        </c:scaling>
        <c:delete val="1"/>
        <c:axPos val="l"/>
        <c:numFmt formatCode="0.00" sourceLinked="1"/>
        <c:majorTickMark val="none"/>
        <c:minorTickMark val="none"/>
        <c:tickLblPos val="nextTo"/>
        <c:crossAx val="886759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25367282827278E-2"/>
          <c:y val="0.12230289324211638"/>
          <c:w val="0.86649939175583546"/>
          <c:h val="0.65424505470710359"/>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F5B2-48B4-9A33-F7502F8DAF94}"/>
            </c:ext>
          </c:extLst>
        </c:ser>
        <c:dLbls>
          <c:dLblPos val="outEnd"/>
          <c:showLegendKey val="0"/>
          <c:showVal val="1"/>
          <c:showCatName val="0"/>
          <c:showSerName val="0"/>
          <c:showPercent val="0"/>
          <c:showBubbleSize val="0"/>
        </c:dLbls>
        <c:gapWidth val="149"/>
        <c:axId val="649664544"/>
        <c:axId val="797625280"/>
      </c:barChart>
      <c:catAx>
        <c:axId val="6496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25280"/>
        <c:crosses val="autoZero"/>
        <c:auto val="1"/>
        <c:lblAlgn val="ctr"/>
        <c:lblOffset val="100"/>
        <c:noMultiLvlLbl val="0"/>
      </c:catAx>
      <c:valAx>
        <c:axId val="797625280"/>
        <c:scaling>
          <c:orientation val="minMax"/>
        </c:scaling>
        <c:delete val="1"/>
        <c:axPos val="l"/>
        <c:numFmt formatCode="0" sourceLinked="1"/>
        <c:majorTickMark val="none"/>
        <c:minorTickMark val="none"/>
        <c:tickLblPos val="nextTo"/>
        <c:crossAx val="649664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326884085652278"/>
          <c:y val="0.17849531580275049"/>
          <c:w val="0.42102225263308135"/>
          <c:h val="0.82150458141700489"/>
        </c:manualLayout>
      </c:layout>
      <c:pieChart>
        <c:varyColors val="1"/>
        <c:ser>
          <c:idx val="0"/>
          <c:order val="0"/>
          <c:tx>
            <c:strRef>
              <c:f>'Pivot report'!$G$56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2D-433C-8211-8C6EB053A33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2D-433C-8211-8C6EB053A3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report'!$F$57:$F$59</c:f>
              <c:strCache>
                <c:ptCount val="2"/>
                <c:pt idx="0">
                  <c:v>Delay</c:v>
                </c:pt>
                <c:pt idx="1">
                  <c:v>On Time</c:v>
                </c:pt>
              </c:strCache>
            </c:strRef>
          </c:cat>
          <c:val>
            <c:numRef>
              <c:f>'Pivot report'!$G$57:$G$59</c:f>
              <c:numCache>
                <c:formatCode>0.00</c:formatCode>
                <c:ptCount val="2"/>
                <c:pt idx="0">
                  <c:v>268</c:v>
                </c:pt>
                <c:pt idx="1">
                  <c:v>201</c:v>
                </c:pt>
              </c:numCache>
            </c:numRef>
          </c:val>
          <c:extLst>
            <c:ext xmlns:c16="http://schemas.microsoft.com/office/drawing/2014/chart" uri="{C3380CC4-5D6E-409C-BE32-E72D297353CC}">
              <c16:uniqueId val="{0000000D-EC07-48E3-B156-5AD021191E6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9416419345224365E-2"/>
          <c:y val="3.2985564304461944E-2"/>
          <c:w val="0.78410762085867769"/>
          <c:h val="0.1562510936132983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900563949776548"/>
          <c:y val="0.13134022309711285"/>
          <c:w val="0.26684312265020926"/>
          <c:h val="0.49365977690288715"/>
        </c:manualLayout>
      </c:layout>
      <c:pieChart>
        <c:varyColors val="1"/>
        <c:ser>
          <c:idx val="0"/>
          <c:order val="0"/>
          <c:tx>
            <c:strRef>
              <c:f>'Pivot report'!$G$56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A0-46FA-85C1-7F25B8AA35D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A0-46FA-85C1-7F25B8AA35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report'!$F$57:$F$59</c:f>
              <c:strCache>
                <c:ptCount val="2"/>
                <c:pt idx="0">
                  <c:v>Delay</c:v>
                </c:pt>
                <c:pt idx="1">
                  <c:v>On Time</c:v>
                </c:pt>
              </c:strCache>
            </c:strRef>
          </c:cat>
          <c:val>
            <c:numRef>
              <c:f>'Pivot report'!$G$57:$G$59</c:f>
              <c:numCache>
                <c:formatCode>0.00</c:formatCode>
                <c:ptCount val="2"/>
                <c:pt idx="0">
                  <c:v>268</c:v>
                </c:pt>
                <c:pt idx="1">
                  <c:v>201</c:v>
                </c:pt>
              </c:numCache>
            </c:numRef>
          </c:val>
          <c:extLst>
            <c:ext xmlns:c16="http://schemas.microsoft.com/office/drawing/2014/chart" uri="{C3380CC4-5D6E-409C-BE32-E72D297353CC}">
              <c16:uniqueId val="{0000000D-D110-4E6D-A926-B498F71DD7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2577410087252609E-2"/>
          <c:y val="2.1411581364829395E-2"/>
          <c:w val="0.47117471802511174"/>
          <c:h val="0.1033218503937007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425491083942469"/>
          <c:y val="0.16591772287483525"/>
          <c:w val="0.39212540699053411"/>
          <c:h val="0.80207469611700155"/>
        </c:manualLayout>
      </c:layout>
      <c:doughnutChart>
        <c:varyColors val="1"/>
        <c:ser>
          <c:idx val="0"/>
          <c:order val="0"/>
          <c:tx>
            <c:strRef>
              <c:f>'Pivot report'!$B$70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8E-436B-980B-F3DB5617DA9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8E-436B-980B-F3DB5617DA9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8E-436B-980B-F3DB5617DA98}"/>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report'!$A$71:$A$74</c:f>
              <c:strCache>
                <c:ptCount val="3"/>
                <c:pt idx="0">
                  <c:v>Female</c:v>
                </c:pt>
                <c:pt idx="1">
                  <c:v>Male</c:v>
                </c:pt>
                <c:pt idx="2">
                  <c:v>NC</c:v>
                </c:pt>
              </c:strCache>
            </c:strRef>
          </c:cat>
          <c:val>
            <c:numRef>
              <c:f>'Pivot report'!$B$71:$B$74</c:f>
              <c:numCache>
                <c:formatCode>0.00</c:formatCode>
                <c:ptCount val="3"/>
                <c:pt idx="0">
                  <c:v>241</c:v>
                </c:pt>
                <c:pt idx="1">
                  <c:v>226</c:v>
                </c:pt>
                <c:pt idx="2">
                  <c:v>2</c:v>
                </c:pt>
              </c:numCache>
            </c:numRef>
          </c:val>
          <c:extLst>
            <c:ext xmlns:c16="http://schemas.microsoft.com/office/drawing/2014/chart" uri="{C3380CC4-5D6E-409C-BE32-E72D297353CC}">
              <c16:uniqueId val="{00000006-388E-436B-980B-F3DB5617DA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1.3441923882443968E-2"/>
          <c:w val="0.97471531609729889"/>
          <c:h val="0.175394261614734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4080840488213"/>
          <c:y val="7.682536756499085E-3"/>
          <c:w val="0.56555066617037353"/>
          <c:h val="0.8416746864975212"/>
        </c:manualLayout>
      </c:layout>
      <c:barChart>
        <c:barDir val="bar"/>
        <c:grouping val="clustered"/>
        <c:varyColors val="0"/>
        <c:ser>
          <c:idx val="0"/>
          <c:order val="0"/>
          <c:tx>
            <c:strRef>
              <c:f>'Pivot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report'!$B$78:$B$86</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1C80-47B9-B7E5-9316DF8622E3}"/>
            </c:ext>
          </c:extLst>
        </c:ser>
        <c:dLbls>
          <c:dLblPos val="outEnd"/>
          <c:showLegendKey val="0"/>
          <c:showVal val="1"/>
          <c:showCatName val="0"/>
          <c:showSerName val="0"/>
          <c:showPercent val="0"/>
          <c:showBubbleSize val="0"/>
        </c:dLbls>
        <c:gapWidth val="32"/>
        <c:overlap val="-1"/>
        <c:axId val="854230496"/>
        <c:axId val="854214656"/>
      </c:barChart>
      <c:catAx>
        <c:axId val="85423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54214656"/>
        <c:crosses val="autoZero"/>
        <c:auto val="1"/>
        <c:lblAlgn val="ctr"/>
        <c:lblOffset val="100"/>
        <c:noMultiLvlLbl val="0"/>
      </c:catAx>
      <c:valAx>
        <c:axId val="8542146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542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27948779129889E-2"/>
          <c:y val="0.12429372120992081"/>
          <c:w val="0.85046714300011583"/>
          <c:h val="0.66406713245351379"/>
        </c:manualLayout>
      </c:layout>
      <c:areaChart>
        <c:grouping val="standard"/>
        <c:varyColors val="0"/>
        <c:ser>
          <c:idx val="0"/>
          <c:order val="0"/>
          <c:tx>
            <c:strRef>
              <c:f>'Pivot report'!$F$7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report'!$E$8:$E$38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report'!$F$8:$F$38</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5EB0-47E9-9A7D-BA662DB9568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7097552"/>
        <c:axId val="757098032"/>
      </c:areaChart>
      <c:catAx>
        <c:axId val="7570975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500" b="0" i="0" u="none" strike="noStrike" kern="1200" baseline="0">
                <a:solidFill>
                  <a:schemeClr val="lt1"/>
                </a:solidFill>
                <a:latin typeface="+mn-lt"/>
                <a:ea typeface="+mn-ea"/>
                <a:cs typeface="+mn-cs"/>
              </a:defRPr>
            </a:pPr>
            <a:endParaRPr lang="en-US"/>
          </a:p>
        </c:txPr>
        <c:crossAx val="757098032"/>
        <c:crosses val="autoZero"/>
        <c:auto val="1"/>
        <c:lblAlgn val="ctr"/>
        <c:lblOffset val="100"/>
        <c:noMultiLvlLbl val="0"/>
      </c:catAx>
      <c:valAx>
        <c:axId val="757098032"/>
        <c:scaling>
          <c:orientation val="minMax"/>
        </c:scaling>
        <c:delete val="1"/>
        <c:axPos val="l"/>
        <c:numFmt formatCode="General" sourceLinked="1"/>
        <c:majorTickMark val="out"/>
        <c:minorTickMark val="none"/>
        <c:tickLblPos val="nextTo"/>
        <c:crossAx val="7570975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74076786913258E-2"/>
          <c:y val="0.16934046345811052"/>
          <c:w val="0.87950787401574804"/>
          <c:h val="0.57313588642328794"/>
        </c:manualLayout>
      </c:layout>
      <c:areaChart>
        <c:grouping val="standard"/>
        <c:varyColors val="0"/>
        <c:ser>
          <c:idx val="0"/>
          <c:order val="0"/>
          <c:tx>
            <c:strRef>
              <c:f>'Pivot report'!$M$6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report'!$L$7:$L$37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report'!$M$7:$M$37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AFC7-42D9-B645-D238EB07908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0243856"/>
        <c:axId val="810244336"/>
      </c:areaChart>
      <c:catAx>
        <c:axId val="8102438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0244336"/>
        <c:crosses val="autoZero"/>
        <c:auto val="1"/>
        <c:lblAlgn val="ctr"/>
        <c:lblOffset val="100"/>
        <c:noMultiLvlLbl val="0"/>
      </c:catAx>
      <c:valAx>
        <c:axId val="810244336"/>
        <c:scaling>
          <c:orientation val="minMax"/>
        </c:scaling>
        <c:delete val="1"/>
        <c:axPos val="l"/>
        <c:numFmt formatCode="0.00" sourceLinked="1"/>
        <c:majorTickMark val="out"/>
        <c:minorTickMark val="none"/>
        <c:tickLblPos val="nextTo"/>
        <c:crossAx val="81024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5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report'!$P$6:$P$33</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report'!$Q$6:$Q$33</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F36D-4AA0-94F1-BB91CD8101F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86759088"/>
        <c:axId val="886773008"/>
      </c:areaChart>
      <c:catAx>
        <c:axId val="8867590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6773008"/>
        <c:crosses val="autoZero"/>
        <c:auto val="1"/>
        <c:lblAlgn val="ctr"/>
        <c:lblOffset val="100"/>
        <c:noMultiLvlLbl val="0"/>
      </c:catAx>
      <c:valAx>
        <c:axId val="886773008"/>
        <c:scaling>
          <c:orientation val="minMax"/>
        </c:scaling>
        <c:delete val="1"/>
        <c:axPos val="l"/>
        <c:numFmt formatCode="0.00" sourceLinked="1"/>
        <c:majorTickMark val="out"/>
        <c:minorTickMark val="none"/>
        <c:tickLblPos val="nextTo"/>
        <c:crossAx val="886759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hyperlink" Target="#'Daily ER No. of patient'!A1"/><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Satisfaction score daily trends'!A1"/><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hyperlink" Target="#'Average Wait Time'!A1"/><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0.sv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0.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548640</xdr:colOff>
      <xdr:row>48</xdr:row>
      <xdr:rowOff>167640</xdr:rowOff>
    </xdr:from>
    <xdr:to>
      <xdr:col>4</xdr:col>
      <xdr:colOff>373380</xdr:colOff>
      <xdr:row>51</xdr:row>
      <xdr:rowOff>22860</xdr:rowOff>
    </xdr:to>
    <xdr:graphicFrame macro="">
      <xdr:nvGraphicFramePr>
        <xdr:cNvPr id="3" name="Chart 2">
          <a:extLst>
            <a:ext uri="{FF2B5EF4-FFF2-40B4-BE49-F238E27FC236}">
              <a16:creationId xmlns:a16="http://schemas.microsoft.com/office/drawing/2014/main" id="{076E480F-B16E-4B79-8125-00B38069D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48576</xdr:colOff>
      <xdr:row>0</xdr:row>
      <xdr:rowOff>36195</xdr:rowOff>
    </xdr:from>
    <xdr:to>
      <xdr:col>5</xdr:col>
      <xdr:colOff>135951</xdr:colOff>
      <xdr:row>2</xdr:row>
      <xdr:rowOff>112395</xdr:rowOff>
    </xdr:to>
    <xdr:sp macro="" textlink="">
      <xdr:nvSpPr>
        <xdr:cNvPr id="2" name="Rectangle: Rounded Corners 1">
          <a:extLst>
            <a:ext uri="{FF2B5EF4-FFF2-40B4-BE49-F238E27FC236}">
              <a16:creationId xmlns:a16="http://schemas.microsoft.com/office/drawing/2014/main" id="{4173B620-A9B8-D961-510D-6E926ACB8305}"/>
            </a:ext>
          </a:extLst>
        </xdr:cNvPr>
        <xdr:cNvSpPr/>
      </xdr:nvSpPr>
      <xdr:spPr>
        <a:xfrm>
          <a:off x="48576" y="36195"/>
          <a:ext cx="3135375" cy="438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189678</xdr:colOff>
      <xdr:row>0</xdr:row>
      <xdr:rowOff>40703</xdr:rowOff>
    </xdr:from>
    <xdr:to>
      <xdr:col>7</xdr:col>
      <xdr:colOff>189485</xdr:colOff>
      <xdr:row>2</xdr:row>
      <xdr:rowOff>111823</xdr:rowOff>
    </xdr:to>
    <xdr:sp macro="" textlink="">
      <xdr:nvSpPr>
        <xdr:cNvPr id="3" name="Rectangle: Rounded Corners 2">
          <a:extLst>
            <a:ext uri="{FF2B5EF4-FFF2-40B4-BE49-F238E27FC236}">
              <a16:creationId xmlns:a16="http://schemas.microsoft.com/office/drawing/2014/main" id="{D9320EEC-6C5C-F105-4FFC-FEE21D808A15}"/>
            </a:ext>
          </a:extLst>
        </xdr:cNvPr>
        <xdr:cNvSpPr/>
      </xdr:nvSpPr>
      <xdr:spPr>
        <a:xfrm>
          <a:off x="3233169" y="40703"/>
          <a:ext cx="1217204" cy="4408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226549</xdr:colOff>
      <xdr:row>0</xdr:row>
      <xdr:rowOff>40578</xdr:rowOff>
    </xdr:from>
    <xdr:to>
      <xdr:col>9</xdr:col>
      <xdr:colOff>302095</xdr:colOff>
      <xdr:row>5</xdr:row>
      <xdr:rowOff>13525</xdr:rowOff>
    </xdr:to>
    <xdr:sp macro="" textlink="">
      <xdr:nvSpPr>
        <xdr:cNvPr id="4" name="Rectangle: Rounded Corners 3">
          <a:extLst>
            <a:ext uri="{FF2B5EF4-FFF2-40B4-BE49-F238E27FC236}">
              <a16:creationId xmlns:a16="http://schemas.microsoft.com/office/drawing/2014/main" id="{98D28B62-B256-14ED-E2A1-E8CB9D2060B7}"/>
            </a:ext>
          </a:extLst>
        </xdr:cNvPr>
        <xdr:cNvSpPr/>
      </xdr:nvSpPr>
      <xdr:spPr>
        <a:xfrm>
          <a:off x="4487437" y="40578"/>
          <a:ext cx="1292942" cy="8972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342517</xdr:colOff>
      <xdr:row>0</xdr:row>
      <xdr:rowOff>40957</xdr:rowOff>
    </xdr:from>
    <xdr:to>
      <xdr:col>11</xdr:col>
      <xdr:colOff>414338</xdr:colOff>
      <xdr:row>5</xdr:row>
      <xdr:rowOff>22544</xdr:rowOff>
    </xdr:to>
    <xdr:sp macro="" textlink="">
      <xdr:nvSpPr>
        <xdr:cNvPr id="5" name="Rectangle: Rounded Corners 4">
          <a:extLst>
            <a:ext uri="{FF2B5EF4-FFF2-40B4-BE49-F238E27FC236}">
              <a16:creationId xmlns:a16="http://schemas.microsoft.com/office/drawing/2014/main" id="{65226294-0D68-4ABA-C7C8-EF46F42819C5}"/>
            </a:ext>
          </a:extLst>
        </xdr:cNvPr>
        <xdr:cNvSpPr/>
      </xdr:nvSpPr>
      <xdr:spPr>
        <a:xfrm>
          <a:off x="5820801" y="40957"/>
          <a:ext cx="1289217" cy="9059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40958</xdr:colOff>
      <xdr:row>2</xdr:row>
      <xdr:rowOff>171766</xdr:rowOff>
    </xdr:from>
    <xdr:to>
      <xdr:col>1</xdr:col>
      <xdr:colOff>355918</xdr:colOff>
      <xdr:row>16</xdr:row>
      <xdr:rowOff>31563</xdr:rowOff>
    </xdr:to>
    <xdr:sp macro="" textlink="">
      <xdr:nvSpPr>
        <xdr:cNvPr id="6" name="Rectangle: Rounded Corners 5">
          <a:extLst>
            <a:ext uri="{FF2B5EF4-FFF2-40B4-BE49-F238E27FC236}">
              <a16:creationId xmlns:a16="http://schemas.microsoft.com/office/drawing/2014/main" id="{2033C5FB-6297-4B35-3AAF-51AFA4706FED}"/>
            </a:ext>
          </a:extLst>
        </xdr:cNvPr>
        <xdr:cNvSpPr/>
      </xdr:nvSpPr>
      <xdr:spPr>
        <a:xfrm>
          <a:off x="40958" y="541494"/>
          <a:ext cx="923658" cy="24478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405766</xdr:colOff>
      <xdr:row>2</xdr:row>
      <xdr:rowOff>178117</xdr:rowOff>
    </xdr:from>
    <xdr:to>
      <xdr:col>3</xdr:col>
      <xdr:colOff>277343</xdr:colOff>
      <xdr:row>6</xdr:row>
      <xdr:rowOff>123862</xdr:rowOff>
    </xdr:to>
    <xdr:sp macro="" textlink="">
      <xdr:nvSpPr>
        <xdr:cNvPr id="8" name="Rectangle: Rounded Corners 7">
          <a:extLst>
            <a:ext uri="{FF2B5EF4-FFF2-40B4-BE49-F238E27FC236}">
              <a16:creationId xmlns:a16="http://schemas.microsoft.com/office/drawing/2014/main" id="{27D45EFD-F1E3-17F2-8447-9720CD91B1B3}"/>
            </a:ext>
          </a:extLst>
        </xdr:cNvPr>
        <xdr:cNvSpPr/>
      </xdr:nvSpPr>
      <xdr:spPr>
        <a:xfrm>
          <a:off x="1015366" y="540067"/>
          <a:ext cx="1090777" cy="6696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343108</xdr:colOff>
      <xdr:row>2</xdr:row>
      <xdr:rowOff>160127</xdr:rowOff>
    </xdr:from>
    <xdr:to>
      <xdr:col>5</xdr:col>
      <xdr:colOff>214685</xdr:colOff>
      <xdr:row>6</xdr:row>
      <xdr:rowOff>121675</xdr:rowOff>
    </xdr:to>
    <xdr:sp macro="" textlink="">
      <xdr:nvSpPr>
        <xdr:cNvPr id="9" name="Rectangle: Rounded Corners 8">
          <a:extLst>
            <a:ext uri="{FF2B5EF4-FFF2-40B4-BE49-F238E27FC236}">
              <a16:creationId xmlns:a16="http://schemas.microsoft.com/office/drawing/2014/main" id="{38FDCE13-DF90-C5F6-02AC-EE55C9BF5569}"/>
            </a:ext>
          </a:extLst>
        </xdr:cNvPr>
        <xdr:cNvSpPr/>
      </xdr:nvSpPr>
      <xdr:spPr>
        <a:xfrm>
          <a:off x="2171908" y="522077"/>
          <a:ext cx="1090777" cy="6854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280824</xdr:colOff>
      <xdr:row>2</xdr:row>
      <xdr:rowOff>171770</xdr:rowOff>
    </xdr:from>
    <xdr:to>
      <xdr:col>7</xdr:col>
      <xdr:colOff>152401</xdr:colOff>
      <xdr:row>6</xdr:row>
      <xdr:rowOff>119064</xdr:rowOff>
    </xdr:to>
    <xdr:sp macro="" textlink="">
      <xdr:nvSpPr>
        <xdr:cNvPr id="10" name="Rectangle: Rounded Corners 9">
          <a:extLst>
            <a:ext uri="{FF2B5EF4-FFF2-40B4-BE49-F238E27FC236}">
              <a16:creationId xmlns:a16="http://schemas.microsoft.com/office/drawing/2014/main" id="{F100EB15-16CC-3114-5FC6-E9C857AC24FB}"/>
            </a:ext>
          </a:extLst>
        </xdr:cNvPr>
        <xdr:cNvSpPr/>
      </xdr:nvSpPr>
      <xdr:spPr>
        <a:xfrm>
          <a:off x="3328824" y="539323"/>
          <a:ext cx="1090777" cy="682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403037</xdr:colOff>
      <xdr:row>9</xdr:row>
      <xdr:rowOff>101028</xdr:rowOff>
    </xdr:from>
    <xdr:to>
      <xdr:col>7</xdr:col>
      <xdr:colOff>164912</xdr:colOff>
      <xdr:row>16</xdr:row>
      <xdr:rowOff>39115</xdr:rowOff>
    </xdr:to>
    <xdr:sp macro="" textlink="">
      <xdr:nvSpPr>
        <xdr:cNvPr id="17" name="Rectangle: Rounded Corners 16">
          <a:extLst>
            <a:ext uri="{FF2B5EF4-FFF2-40B4-BE49-F238E27FC236}">
              <a16:creationId xmlns:a16="http://schemas.microsoft.com/office/drawing/2014/main" id="{335703A9-F8CE-5E88-CC66-E31526DE32E0}"/>
            </a:ext>
          </a:extLst>
        </xdr:cNvPr>
        <xdr:cNvSpPr/>
      </xdr:nvSpPr>
      <xdr:spPr>
        <a:xfrm>
          <a:off x="1011735" y="1764803"/>
          <a:ext cx="3414065" cy="12321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j</a:t>
          </a:r>
        </a:p>
      </xdr:txBody>
    </xdr:sp>
    <xdr:clientData/>
  </xdr:twoCellAnchor>
  <xdr:twoCellAnchor editAs="absolute">
    <xdr:from>
      <xdr:col>7</xdr:col>
      <xdr:colOff>331544</xdr:colOff>
      <xdr:row>5</xdr:row>
      <xdr:rowOff>98236</xdr:rowOff>
    </xdr:from>
    <xdr:to>
      <xdr:col>11</xdr:col>
      <xdr:colOff>545857</xdr:colOff>
      <xdr:row>16</xdr:row>
      <xdr:rowOff>49598</xdr:rowOff>
    </xdr:to>
    <xdr:sp macro="" textlink="">
      <xdr:nvSpPr>
        <xdr:cNvPr id="27" name="Rectangle: Rounded Corners 26">
          <a:extLst>
            <a:ext uri="{FF2B5EF4-FFF2-40B4-BE49-F238E27FC236}">
              <a16:creationId xmlns:a16="http://schemas.microsoft.com/office/drawing/2014/main" id="{39652BA8-E7A2-F672-97B3-32C693A855AF}"/>
            </a:ext>
          </a:extLst>
        </xdr:cNvPr>
        <xdr:cNvSpPr/>
      </xdr:nvSpPr>
      <xdr:spPr>
        <a:xfrm>
          <a:off x="4592432" y="1022556"/>
          <a:ext cx="2649105" cy="19848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92448</xdr:colOff>
      <xdr:row>0</xdr:row>
      <xdr:rowOff>85447</xdr:rowOff>
    </xdr:from>
    <xdr:to>
      <xdr:col>5</xdr:col>
      <xdr:colOff>216274</xdr:colOff>
      <xdr:row>1</xdr:row>
      <xdr:rowOff>128308</xdr:rowOff>
    </xdr:to>
    <xdr:sp macro="" textlink="">
      <xdr:nvSpPr>
        <xdr:cNvPr id="41" name="TextBox 40">
          <a:extLst>
            <a:ext uri="{FF2B5EF4-FFF2-40B4-BE49-F238E27FC236}">
              <a16:creationId xmlns:a16="http://schemas.microsoft.com/office/drawing/2014/main" id="{B7AF01CF-556B-E3AC-B703-4EA6F375726A}"/>
            </a:ext>
          </a:extLst>
        </xdr:cNvPr>
        <xdr:cNvSpPr txBox="1"/>
      </xdr:nvSpPr>
      <xdr:spPr>
        <a:xfrm>
          <a:off x="702048" y="85447"/>
          <a:ext cx="2562226" cy="226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Room Dashboard</a:t>
          </a:r>
        </a:p>
        <a:p>
          <a:endParaRPr lang="en-IN" sz="1100"/>
        </a:p>
      </xdr:txBody>
    </xdr:sp>
    <xdr:clientData/>
  </xdr:twoCellAnchor>
  <xdr:twoCellAnchor editAs="oneCell">
    <xdr:from>
      <xdr:col>0</xdr:col>
      <xdr:colOff>107578</xdr:colOff>
      <xdr:row>0</xdr:row>
      <xdr:rowOff>71719</xdr:rowOff>
    </xdr:from>
    <xdr:to>
      <xdr:col>1</xdr:col>
      <xdr:colOff>31377</xdr:colOff>
      <xdr:row>2</xdr:row>
      <xdr:rowOff>89648</xdr:rowOff>
    </xdr:to>
    <xdr:pic>
      <xdr:nvPicPr>
        <xdr:cNvPr id="44" name="Picture 43">
          <a:extLst>
            <a:ext uri="{FF2B5EF4-FFF2-40B4-BE49-F238E27FC236}">
              <a16:creationId xmlns:a16="http://schemas.microsoft.com/office/drawing/2014/main" id="{93044862-1654-F3EF-B98C-EF97655E637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44" t="6422" r="4688" b="1538"/>
        <a:stretch>
          <a:fillRect/>
        </a:stretch>
      </xdr:blipFill>
      <xdr:spPr bwMode="auto">
        <a:xfrm>
          <a:off x="107578" y="71719"/>
          <a:ext cx="533399" cy="385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116541</xdr:colOff>
      <xdr:row>1</xdr:row>
      <xdr:rowOff>94131</xdr:rowOff>
    </xdr:from>
    <xdr:to>
      <xdr:col>4</xdr:col>
      <xdr:colOff>358588</xdr:colOff>
      <xdr:row>2</xdr:row>
      <xdr:rowOff>62754</xdr:rowOff>
    </xdr:to>
    <xdr:sp macro="" textlink="">
      <xdr:nvSpPr>
        <xdr:cNvPr id="45" name="TextBox 44">
          <a:extLst>
            <a:ext uri="{FF2B5EF4-FFF2-40B4-BE49-F238E27FC236}">
              <a16:creationId xmlns:a16="http://schemas.microsoft.com/office/drawing/2014/main" id="{D4963655-A899-8DDA-490A-D917D358525E}"/>
            </a:ext>
          </a:extLst>
        </xdr:cNvPr>
        <xdr:cNvSpPr txBox="1"/>
      </xdr:nvSpPr>
      <xdr:spPr>
        <a:xfrm>
          <a:off x="1335741" y="277907"/>
          <a:ext cx="146124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 Report</a:t>
          </a:r>
        </a:p>
        <a:p>
          <a:endParaRPr lang="en-IN" sz="1000"/>
        </a:p>
      </xdr:txBody>
    </xdr:sp>
    <xdr:clientData/>
  </xdr:twoCellAnchor>
  <xdr:twoCellAnchor>
    <xdr:from>
      <xdr:col>2</xdr:col>
      <xdr:colOff>4481</xdr:colOff>
      <xdr:row>4</xdr:row>
      <xdr:rowOff>76201</xdr:rowOff>
    </xdr:from>
    <xdr:to>
      <xdr:col>4</xdr:col>
      <xdr:colOff>246528</xdr:colOff>
      <xdr:row>5</xdr:row>
      <xdr:rowOff>44825</xdr:rowOff>
    </xdr:to>
    <xdr:sp macro="" textlink="">
      <xdr:nvSpPr>
        <xdr:cNvPr id="46" name="TextBox 45">
          <a:extLst>
            <a:ext uri="{FF2B5EF4-FFF2-40B4-BE49-F238E27FC236}">
              <a16:creationId xmlns:a16="http://schemas.microsoft.com/office/drawing/2014/main" id="{F3398CDD-2D5C-8E05-067A-2B00815C5C8A}"/>
            </a:ext>
          </a:extLst>
        </xdr:cNvPr>
        <xdr:cNvSpPr txBox="1"/>
      </xdr:nvSpPr>
      <xdr:spPr>
        <a:xfrm>
          <a:off x="1221877" y="815657"/>
          <a:ext cx="1459444" cy="15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No.</a:t>
          </a:r>
          <a:r>
            <a:rPr lang="en-IN" sz="900" baseline="0"/>
            <a:t> of Patient</a:t>
          </a:r>
        </a:p>
        <a:p>
          <a:endParaRPr lang="en-IN" sz="1000"/>
        </a:p>
      </xdr:txBody>
    </xdr:sp>
    <xdr:clientData/>
  </xdr:twoCellAnchor>
  <xdr:twoCellAnchor>
    <xdr:from>
      <xdr:col>2</xdr:col>
      <xdr:colOff>147919</xdr:colOff>
      <xdr:row>3</xdr:row>
      <xdr:rowOff>62754</xdr:rowOff>
    </xdr:from>
    <xdr:to>
      <xdr:col>4</xdr:col>
      <xdr:colOff>389966</xdr:colOff>
      <xdr:row>4</xdr:row>
      <xdr:rowOff>31377</xdr:rowOff>
    </xdr:to>
    <xdr:sp macro="" textlink="'Pivot report'!A8">
      <xdr:nvSpPr>
        <xdr:cNvPr id="47" name="TextBox 46">
          <a:extLst>
            <a:ext uri="{FF2B5EF4-FFF2-40B4-BE49-F238E27FC236}">
              <a16:creationId xmlns:a16="http://schemas.microsoft.com/office/drawing/2014/main" id="{52765A97-16DA-CDD0-62EC-CDF87D9878A6}"/>
            </a:ext>
          </a:extLst>
        </xdr:cNvPr>
        <xdr:cNvSpPr txBox="1"/>
      </xdr:nvSpPr>
      <xdr:spPr>
        <a:xfrm>
          <a:off x="1367119" y="605679"/>
          <a:ext cx="1461247" cy="14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FDF2CB2-70C5-4E30-82CD-F10676B10B07}" type="TxLink">
            <a:rPr lang="en-US" sz="1100" b="0" i="0" u="none" strike="noStrike">
              <a:solidFill>
                <a:srgbClr val="000000"/>
              </a:solidFill>
              <a:latin typeface="Calibri"/>
              <a:ea typeface="Calibri"/>
              <a:cs typeface="Calibri"/>
            </a:rPr>
            <a:pPr/>
            <a:t>469</a:t>
          </a:fld>
          <a:endParaRPr lang="en-US" sz="1100"/>
        </a:p>
      </xdr:txBody>
    </xdr:sp>
    <xdr:clientData/>
  </xdr:twoCellAnchor>
  <xdr:twoCellAnchor>
    <xdr:from>
      <xdr:col>3</xdr:col>
      <xdr:colOff>452716</xdr:colOff>
      <xdr:row>4</xdr:row>
      <xdr:rowOff>67237</xdr:rowOff>
    </xdr:from>
    <xdr:to>
      <xdr:col>6</xdr:col>
      <xdr:colOff>85163</xdr:colOff>
      <xdr:row>5</xdr:row>
      <xdr:rowOff>35861</xdr:rowOff>
    </xdr:to>
    <xdr:sp macro="" textlink="">
      <xdr:nvSpPr>
        <xdr:cNvPr id="53" name="TextBox 52">
          <a:extLst>
            <a:ext uri="{FF2B5EF4-FFF2-40B4-BE49-F238E27FC236}">
              <a16:creationId xmlns:a16="http://schemas.microsoft.com/office/drawing/2014/main" id="{BF298AD3-07A8-6E75-715B-4A78E106F54D}"/>
            </a:ext>
          </a:extLst>
        </xdr:cNvPr>
        <xdr:cNvSpPr txBox="1"/>
      </xdr:nvSpPr>
      <xdr:spPr>
        <a:xfrm>
          <a:off x="2281516" y="802343"/>
          <a:ext cx="146124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Average</a:t>
          </a:r>
          <a:r>
            <a:rPr lang="en-IN" sz="900" baseline="0"/>
            <a:t> Wait Time</a:t>
          </a:r>
          <a:endParaRPr lang="en-IN" sz="1000"/>
        </a:p>
      </xdr:txBody>
    </xdr:sp>
    <xdr:clientData/>
  </xdr:twoCellAnchor>
  <xdr:twoCellAnchor>
    <xdr:from>
      <xdr:col>4</xdr:col>
      <xdr:colOff>107578</xdr:colOff>
      <xdr:row>3</xdr:row>
      <xdr:rowOff>44825</xdr:rowOff>
    </xdr:from>
    <xdr:to>
      <xdr:col>6</xdr:col>
      <xdr:colOff>349625</xdr:colOff>
      <xdr:row>4</xdr:row>
      <xdr:rowOff>13448</xdr:rowOff>
    </xdr:to>
    <xdr:sp macro="" textlink="'Pivot report'!A15">
      <xdr:nvSpPr>
        <xdr:cNvPr id="54" name="TextBox 53">
          <a:extLst>
            <a:ext uri="{FF2B5EF4-FFF2-40B4-BE49-F238E27FC236}">
              <a16:creationId xmlns:a16="http://schemas.microsoft.com/office/drawing/2014/main" id="{3CDEC5CF-0A0F-9F22-9966-0280DD2228A0}"/>
            </a:ext>
          </a:extLst>
        </xdr:cNvPr>
        <xdr:cNvSpPr txBox="1"/>
      </xdr:nvSpPr>
      <xdr:spPr>
        <a:xfrm>
          <a:off x="2545978" y="596154"/>
          <a:ext cx="146124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4955AC5-1907-414B-9D79-8177548CAAE4}" type="TxLink">
            <a:rPr lang="en-US" sz="1100" b="0" i="0" u="none" strike="noStrike">
              <a:solidFill>
                <a:srgbClr val="000000"/>
              </a:solidFill>
              <a:latin typeface="Calibri"/>
              <a:ea typeface="Calibri"/>
              <a:cs typeface="Calibri"/>
            </a:rPr>
            <a:pPr/>
            <a:t>35.04</a:t>
          </a:fld>
          <a:endParaRPr lang="en-US" sz="1100"/>
        </a:p>
      </xdr:txBody>
    </xdr:sp>
    <xdr:clientData/>
  </xdr:twoCellAnchor>
  <xdr:twoCellAnchor editAs="absolute">
    <xdr:from>
      <xdr:col>5</xdr:col>
      <xdr:colOff>284838</xdr:colOff>
      <xdr:row>2</xdr:row>
      <xdr:rowOff>155645</xdr:rowOff>
    </xdr:from>
    <xdr:to>
      <xdr:col>7</xdr:col>
      <xdr:colOff>156415</xdr:colOff>
      <xdr:row>6</xdr:row>
      <xdr:rowOff>117193</xdr:rowOff>
    </xdr:to>
    <xdr:sp macro="" textlink="">
      <xdr:nvSpPr>
        <xdr:cNvPr id="55" name="Rectangle: Rounded Corners 54">
          <a:extLst>
            <a:ext uri="{FF2B5EF4-FFF2-40B4-BE49-F238E27FC236}">
              <a16:creationId xmlns:a16="http://schemas.microsoft.com/office/drawing/2014/main" id="{616D954D-A77F-D696-B45F-79BB06449CF4}"/>
            </a:ext>
          </a:extLst>
        </xdr:cNvPr>
        <xdr:cNvSpPr/>
      </xdr:nvSpPr>
      <xdr:spPr>
        <a:xfrm>
          <a:off x="3332838" y="517595"/>
          <a:ext cx="1090777" cy="6854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412376</xdr:colOff>
      <xdr:row>4</xdr:row>
      <xdr:rowOff>67236</xdr:rowOff>
    </xdr:from>
    <xdr:to>
      <xdr:col>8</xdr:col>
      <xdr:colOff>44823</xdr:colOff>
      <xdr:row>5</xdr:row>
      <xdr:rowOff>35860</xdr:rowOff>
    </xdr:to>
    <xdr:sp macro="" textlink="">
      <xdr:nvSpPr>
        <xdr:cNvPr id="56" name="TextBox 55">
          <a:extLst>
            <a:ext uri="{FF2B5EF4-FFF2-40B4-BE49-F238E27FC236}">
              <a16:creationId xmlns:a16="http://schemas.microsoft.com/office/drawing/2014/main" id="{E2DF0164-BBAC-7D64-F593-936F2DAD8BE7}"/>
            </a:ext>
          </a:extLst>
        </xdr:cNvPr>
        <xdr:cNvSpPr txBox="1"/>
      </xdr:nvSpPr>
      <xdr:spPr>
        <a:xfrm>
          <a:off x="3460376" y="802342"/>
          <a:ext cx="146124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Satisfaction Score</a:t>
          </a:r>
        </a:p>
        <a:p>
          <a:endParaRPr lang="en-IN" sz="900" baseline="0"/>
        </a:p>
      </xdr:txBody>
    </xdr:sp>
    <xdr:clientData/>
  </xdr:twoCellAnchor>
  <xdr:twoCellAnchor>
    <xdr:from>
      <xdr:col>6</xdr:col>
      <xdr:colOff>35860</xdr:colOff>
      <xdr:row>3</xdr:row>
      <xdr:rowOff>44825</xdr:rowOff>
    </xdr:from>
    <xdr:to>
      <xdr:col>8</xdr:col>
      <xdr:colOff>277907</xdr:colOff>
      <xdr:row>4</xdr:row>
      <xdr:rowOff>13448</xdr:rowOff>
    </xdr:to>
    <xdr:sp macro="" textlink="'Pivot report'!A20">
      <xdr:nvSpPr>
        <xdr:cNvPr id="57" name="TextBox 56">
          <a:extLst>
            <a:ext uri="{FF2B5EF4-FFF2-40B4-BE49-F238E27FC236}">
              <a16:creationId xmlns:a16="http://schemas.microsoft.com/office/drawing/2014/main" id="{0A4F739B-287D-A4D7-FD44-ED9F9EA1FA17}"/>
            </a:ext>
          </a:extLst>
        </xdr:cNvPr>
        <xdr:cNvSpPr txBox="1"/>
      </xdr:nvSpPr>
      <xdr:spPr>
        <a:xfrm>
          <a:off x="3693460" y="596154"/>
          <a:ext cx="146124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6A41102-246B-4D88-94EA-37E1F0540576}" type="TxLink">
            <a:rPr lang="en-US" sz="1100" b="0" i="0" u="none" strike="noStrike">
              <a:solidFill>
                <a:srgbClr val="000000"/>
              </a:solidFill>
              <a:latin typeface="Calibri"/>
              <a:ea typeface="Calibri"/>
              <a:cs typeface="Calibri"/>
            </a:rPr>
            <a:pPr/>
            <a:t>4.63</a:t>
          </a:fld>
          <a:endParaRPr lang="en-US" sz="1100"/>
        </a:p>
      </xdr:txBody>
    </xdr:sp>
    <xdr:clientData/>
  </xdr:twoCellAnchor>
  <xdr:twoCellAnchor editAs="oneCell">
    <xdr:from>
      <xdr:col>2</xdr:col>
      <xdr:colOff>587188</xdr:colOff>
      <xdr:row>3</xdr:row>
      <xdr:rowOff>8965</xdr:rowOff>
    </xdr:from>
    <xdr:to>
      <xdr:col>3</xdr:col>
      <xdr:colOff>201706</xdr:colOff>
      <xdr:row>4</xdr:row>
      <xdr:rowOff>49306</xdr:rowOff>
    </xdr:to>
    <xdr:pic>
      <xdr:nvPicPr>
        <xdr:cNvPr id="59" name="Graphic 58" descr="User with solid fill">
          <a:extLst>
            <a:ext uri="{FF2B5EF4-FFF2-40B4-BE49-F238E27FC236}">
              <a16:creationId xmlns:a16="http://schemas.microsoft.com/office/drawing/2014/main" id="{D6A12A10-D26F-E12E-A581-1C969B4F800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6388" y="560294"/>
          <a:ext cx="224118" cy="224118"/>
        </a:xfrm>
        <a:prstGeom prst="rect">
          <a:avLst/>
        </a:prstGeom>
      </xdr:spPr>
    </xdr:pic>
    <xdr:clientData/>
  </xdr:twoCellAnchor>
  <xdr:twoCellAnchor editAs="oneCell">
    <xdr:from>
      <xdr:col>4</xdr:col>
      <xdr:colOff>528918</xdr:colOff>
      <xdr:row>2</xdr:row>
      <xdr:rowOff>179294</xdr:rowOff>
    </xdr:from>
    <xdr:to>
      <xdr:col>5</xdr:col>
      <xdr:colOff>170329</xdr:colOff>
      <xdr:row>4</xdr:row>
      <xdr:rowOff>62752</xdr:rowOff>
    </xdr:to>
    <xdr:pic>
      <xdr:nvPicPr>
        <xdr:cNvPr id="61" name="Graphic 60" descr="Clock with solid fill">
          <a:extLst>
            <a:ext uri="{FF2B5EF4-FFF2-40B4-BE49-F238E27FC236}">
              <a16:creationId xmlns:a16="http://schemas.microsoft.com/office/drawing/2014/main" id="{D76511DD-DA64-FD92-14D5-EF0F3CA9E6E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67318" y="546847"/>
          <a:ext cx="251011" cy="251011"/>
        </a:xfrm>
        <a:prstGeom prst="rect">
          <a:avLst/>
        </a:prstGeom>
      </xdr:spPr>
    </xdr:pic>
    <xdr:clientData/>
  </xdr:twoCellAnchor>
  <xdr:twoCellAnchor editAs="oneCell">
    <xdr:from>
      <xdr:col>6</xdr:col>
      <xdr:colOff>421903</xdr:colOff>
      <xdr:row>3</xdr:row>
      <xdr:rowOff>24161</xdr:rowOff>
    </xdr:from>
    <xdr:to>
      <xdr:col>6</xdr:col>
      <xdr:colOff>581444</xdr:colOff>
      <xdr:row>4</xdr:row>
      <xdr:rowOff>40342</xdr:rowOff>
    </xdr:to>
    <xdr:pic>
      <xdr:nvPicPr>
        <xdr:cNvPr id="62" name="Picture 61">
          <a:extLst>
            <a:ext uri="{FF2B5EF4-FFF2-40B4-BE49-F238E27FC236}">
              <a16:creationId xmlns:a16="http://schemas.microsoft.com/office/drawing/2014/main" id="{4386CD33-00DF-FBC1-1A55-9392D53B5D2C}"/>
            </a:ext>
          </a:extLst>
        </xdr:cNvPr>
        <xdr:cNvPicPr>
          <a:picLocks noChangeAspect="1"/>
        </xdr:cNvPicPr>
      </xdr:nvPicPr>
      <xdr:blipFill>
        <a:blip xmlns:r="http://schemas.openxmlformats.org/officeDocument/2006/relationships" r:embed="rId6"/>
        <a:stretch>
          <a:fillRect/>
        </a:stretch>
      </xdr:blipFill>
      <xdr:spPr>
        <a:xfrm>
          <a:off x="4079503" y="575490"/>
          <a:ext cx="159541" cy="199958"/>
        </a:xfrm>
        <a:prstGeom prst="rect">
          <a:avLst/>
        </a:prstGeom>
      </xdr:spPr>
    </xdr:pic>
    <xdr:clientData/>
  </xdr:twoCellAnchor>
  <xdr:twoCellAnchor editAs="oneCell">
    <xdr:from>
      <xdr:col>0</xdr:col>
      <xdr:colOff>141473</xdr:colOff>
      <xdr:row>3</xdr:row>
      <xdr:rowOff>42862</xdr:rowOff>
    </xdr:from>
    <xdr:to>
      <xdr:col>1</xdr:col>
      <xdr:colOff>300038</xdr:colOff>
      <xdr:row>15</xdr:row>
      <xdr:rowOff>161926</xdr:rowOff>
    </xdr:to>
    <mc:AlternateContent xmlns:mc="http://schemas.openxmlformats.org/markup-compatibility/2006" xmlns:a14="http://schemas.microsoft.com/office/drawing/2010/main">
      <mc:Choice Requires="a14">
        <xdr:graphicFrame macro="">
          <xdr:nvGraphicFramePr>
            <xdr:cNvPr id="7" name="Date (Month) 1">
              <a:extLst>
                <a:ext uri="{FF2B5EF4-FFF2-40B4-BE49-F238E27FC236}">
                  <a16:creationId xmlns:a16="http://schemas.microsoft.com/office/drawing/2014/main" id="{54CD801D-ADB2-4889-B26C-264793043D1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41473" y="585787"/>
              <a:ext cx="768165" cy="2290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367666</xdr:colOff>
      <xdr:row>4</xdr:row>
      <xdr:rowOff>47625</xdr:rowOff>
    </xdr:from>
    <xdr:to>
      <xdr:col>3</xdr:col>
      <xdr:colOff>180976</xdr:colOff>
      <xdr:row>6</xdr:row>
      <xdr:rowOff>100011</xdr:rowOff>
    </xdr:to>
    <xdr:graphicFrame macro="">
      <xdr:nvGraphicFramePr>
        <xdr:cNvPr id="32" name="Chart 31">
          <a:hlinkClick xmlns:r="http://schemas.openxmlformats.org/officeDocument/2006/relationships" r:id="rId7"/>
          <a:extLst>
            <a:ext uri="{FF2B5EF4-FFF2-40B4-BE49-F238E27FC236}">
              <a16:creationId xmlns:a16="http://schemas.microsoft.com/office/drawing/2014/main" id="{C9C28602-BB18-4C53-B6B1-F3E12394E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300036</xdr:colOff>
      <xdr:row>5</xdr:row>
      <xdr:rowOff>1</xdr:rowOff>
    </xdr:from>
    <xdr:to>
      <xdr:col>5</xdr:col>
      <xdr:colOff>209549</xdr:colOff>
      <xdr:row>7</xdr:row>
      <xdr:rowOff>66676</xdr:rowOff>
    </xdr:to>
    <xdr:graphicFrame macro="">
      <xdr:nvGraphicFramePr>
        <xdr:cNvPr id="38" name="Chart 37">
          <a:hlinkClick xmlns:r="http://schemas.openxmlformats.org/officeDocument/2006/relationships" r:id="rId9"/>
          <a:extLst>
            <a:ext uri="{FF2B5EF4-FFF2-40B4-BE49-F238E27FC236}">
              <a16:creationId xmlns:a16="http://schemas.microsoft.com/office/drawing/2014/main" id="{4C81A3F8-854B-9621-1AAD-ACA8AF1AF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381000</xdr:colOff>
      <xdr:row>5</xdr:row>
      <xdr:rowOff>14287</xdr:rowOff>
    </xdr:from>
    <xdr:to>
      <xdr:col>7</xdr:col>
      <xdr:colOff>95251</xdr:colOff>
      <xdr:row>6</xdr:row>
      <xdr:rowOff>104775</xdr:rowOff>
    </xdr:to>
    <xdr:graphicFrame macro="">
      <xdr:nvGraphicFramePr>
        <xdr:cNvPr id="39" name="Chart 38">
          <a:hlinkClick xmlns:r="http://schemas.openxmlformats.org/officeDocument/2006/relationships" r:id="rId11"/>
          <a:extLst>
            <a:ext uri="{FF2B5EF4-FFF2-40B4-BE49-F238E27FC236}">
              <a16:creationId xmlns:a16="http://schemas.microsoft.com/office/drawing/2014/main" id="{0367E8F5-ACAF-44A6-9271-92FDEFC58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414815</xdr:colOff>
          <xdr:row>6</xdr:row>
          <xdr:rowOff>148794</xdr:rowOff>
        </xdr:from>
        <xdr:to>
          <xdr:col>7</xdr:col>
          <xdr:colOff>180352</xdr:colOff>
          <xdr:row>9</xdr:row>
          <xdr:rowOff>40581</xdr:rowOff>
        </xdr:to>
        <xdr:pic>
          <xdr:nvPicPr>
            <xdr:cNvPr id="25" name="Picture 24">
              <a:extLst>
                <a:ext uri="{FF2B5EF4-FFF2-40B4-BE49-F238E27FC236}">
                  <a16:creationId xmlns:a16="http://schemas.microsoft.com/office/drawing/2014/main" id="{5020EE23-EBF8-A59A-6ABB-790B3F532049}"/>
                </a:ext>
              </a:extLst>
            </xdr:cNvPr>
            <xdr:cNvPicPr>
              <a:picLocks noChangeAspect="1" noChangeArrowheads="1"/>
              <a:extLst>
                <a:ext uri="{84589F7E-364E-4C9E-8A38-B11213B215E9}">
                  <a14:cameraTool cellRange="'Pivot report'!$A$49:$D$51" spid="_x0000_s1104"/>
                </a:ext>
              </a:extLst>
            </xdr:cNvPicPr>
          </xdr:nvPicPr>
          <xdr:blipFill>
            <a:blip xmlns:r="http://schemas.openxmlformats.org/officeDocument/2006/relationships" r:embed="rId13"/>
            <a:srcRect/>
            <a:stretch>
              <a:fillRect/>
            </a:stretch>
          </xdr:blipFill>
          <xdr:spPr bwMode="auto">
            <a:xfrm>
              <a:off x="1023513" y="1257977"/>
              <a:ext cx="3417727" cy="44637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243480</xdr:colOff>
      <xdr:row>9</xdr:row>
      <xdr:rowOff>180355</xdr:rowOff>
    </xdr:from>
    <xdr:to>
      <xdr:col>7</xdr:col>
      <xdr:colOff>347183</xdr:colOff>
      <xdr:row>14</xdr:row>
      <xdr:rowOff>162319</xdr:rowOff>
    </xdr:to>
    <xdr:graphicFrame macro="">
      <xdr:nvGraphicFramePr>
        <xdr:cNvPr id="28" name="Chart 27">
          <a:extLst>
            <a:ext uri="{FF2B5EF4-FFF2-40B4-BE49-F238E27FC236}">
              <a16:creationId xmlns:a16="http://schemas.microsoft.com/office/drawing/2014/main" id="{0EB64F36-7637-43C6-A91B-1CDF50F89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257005</xdr:colOff>
      <xdr:row>15</xdr:row>
      <xdr:rowOff>49598</xdr:rowOff>
    </xdr:from>
    <xdr:to>
      <xdr:col>5</xdr:col>
      <xdr:colOff>390840</xdr:colOff>
      <xdr:row>16</xdr:row>
      <xdr:rowOff>18223</xdr:rowOff>
    </xdr:to>
    <xdr:sp macro="" textlink="">
      <xdr:nvSpPr>
        <xdr:cNvPr id="29" name="TextBox 28">
          <a:extLst>
            <a:ext uri="{FF2B5EF4-FFF2-40B4-BE49-F238E27FC236}">
              <a16:creationId xmlns:a16="http://schemas.microsoft.com/office/drawing/2014/main" id="{37A50489-94E6-40E4-8531-87EB43A1BF0E}"/>
            </a:ext>
          </a:extLst>
        </xdr:cNvPr>
        <xdr:cNvSpPr txBox="1"/>
      </xdr:nvSpPr>
      <xdr:spPr>
        <a:xfrm>
          <a:off x="2083100" y="2822557"/>
          <a:ext cx="1351231" cy="15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No.</a:t>
          </a:r>
          <a:r>
            <a:rPr lang="en-IN" sz="800" baseline="0"/>
            <a:t> of Patient by Age Group</a:t>
          </a:r>
        </a:p>
        <a:p>
          <a:endParaRPr lang="en-IN" sz="900"/>
        </a:p>
      </xdr:txBody>
    </xdr:sp>
    <xdr:clientData/>
  </xdr:twoCellAnchor>
  <xdr:twoCellAnchor>
    <xdr:from>
      <xdr:col>5</xdr:col>
      <xdr:colOff>437360</xdr:colOff>
      <xdr:row>17</xdr:row>
      <xdr:rowOff>108215</xdr:rowOff>
    </xdr:from>
    <xdr:to>
      <xdr:col>8</xdr:col>
      <xdr:colOff>40579</xdr:colOff>
      <xdr:row>21</xdr:row>
      <xdr:rowOff>72144</xdr:rowOff>
    </xdr:to>
    <xdr:graphicFrame macro="">
      <xdr:nvGraphicFramePr>
        <xdr:cNvPr id="31" name="Chart 30">
          <a:extLst>
            <a:ext uri="{FF2B5EF4-FFF2-40B4-BE49-F238E27FC236}">
              <a16:creationId xmlns:a16="http://schemas.microsoft.com/office/drawing/2014/main" id="{43097983-F151-4215-80F8-A14A698BC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226549</xdr:colOff>
      <xdr:row>0</xdr:row>
      <xdr:rowOff>40578</xdr:rowOff>
    </xdr:from>
    <xdr:to>
      <xdr:col>11</xdr:col>
      <xdr:colOff>47277</xdr:colOff>
      <xdr:row>6</xdr:row>
      <xdr:rowOff>150595</xdr:rowOff>
    </xdr:to>
    <xdr:graphicFrame macro="">
      <xdr:nvGraphicFramePr>
        <xdr:cNvPr id="33" name="Chart 32">
          <a:extLst>
            <a:ext uri="{FF2B5EF4-FFF2-40B4-BE49-F238E27FC236}">
              <a16:creationId xmlns:a16="http://schemas.microsoft.com/office/drawing/2014/main" id="{69EBFC70-A84F-4D5F-8BCA-9F7FAEAE2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329119</xdr:colOff>
      <xdr:row>4</xdr:row>
      <xdr:rowOff>62674</xdr:rowOff>
    </xdr:from>
    <xdr:to>
      <xdr:col>9</xdr:col>
      <xdr:colOff>571167</xdr:colOff>
      <xdr:row>5</xdr:row>
      <xdr:rowOff>31298</xdr:rowOff>
    </xdr:to>
    <xdr:sp macro="" textlink="">
      <xdr:nvSpPr>
        <xdr:cNvPr id="36" name="TextBox 35">
          <a:extLst>
            <a:ext uri="{FF2B5EF4-FFF2-40B4-BE49-F238E27FC236}">
              <a16:creationId xmlns:a16="http://schemas.microsoft.com/office/drawing/2014/main" id="{E7E1D109-37F2-2A80-D43B-A0D9D70B1044}"/>
            </a:ext>
          </a:extLst>
        </xdr:cNvPr>
        <xdr:cNvSpPr txBox="1"/>
      </xdr:nvSpPr>
      <xdr:spPr>
        <a:xfrm>
          <a:off x="4590007" y="802130"/>
          <a:ext cx="1459444" cy="15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aseline="0"/>
            <a:t>Patient attended </a:t>
          </a:r>
          <a:r>
            <a:rPr lang="en-IN" sz="800" baseline="0"/>
            <a:t>within</a:t>
          </a:r>
          <a:r>
            <a:rPr lang="en-IN" sz="700" baseline="0"/>
            <a:t> Time </a:t>
          </a:r>
        </a:p>
        <a:p>
          <a:endParaRPr lang="en-IN" sz="1000"/>
        </a:p>
      </xdr:txBody>
    </xdr:sp>
    <xdr:clientData/>
  </xdr:twoCellAnchor>
  <xdr:twoCellAnchor>
    <xdr:from>
      <xdr:col>9</xdr:col>
      <xdr:colOff>595143</xdr:colOff>
      <xdr:row>4</xdr:row>
      <xdr:rowOff>80711</xdr:rowOff>
    </xdr:from>
    <xdr:to>
      <xdr:col>12</xdr:col>
      <xdr:colOff>228492</xdr:colOff>
      <xdr:row>5</xdr:row>
      <xdr:rowOff>49335</xdr:rowOff>
    </xdr:to>
    <xdr:sp macro="" textlink="">
      <xdr:nvSpPr>
        <xdr:cNvPr id="49" name="TextBox 48">
          <a:extLst>
            <a:ext uri="{FF2B5EF4-FFF2-40B4-BE49-F238E27FC236}">
              <a16:creationId xmlns:a16="http://schemas.microsoft.com/office/drawing/2014/main" id="{FCFC0CB1-7A1A-866E-D042-76D25FACAD76}"/>
            </a:ext>
          </a:extLst>
        </xdr:cNvPr>
        <xdr:cNvSpPr txBox="1"/>
      </xdr:nvSpPr>
      <xdr:spPr>
        <a:xfrm>
          <a:off x="6073427" y="820167"/>
          <a:ext cx="1459444" cy="15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a:t>Gender</a:t>
          </a:r>
          <a:r>
            <a:rPr lang="en-IN" sz="700" baseline="0"/>
            <a:t> Wise Analysis</a:t>
          </a:r>
        </a:p>
        <a:p>
          <a:endParaRPr lang="en-IN" sz="1000"/>
        </a:p>
      </xdr:txBody>
    </xdr:sp>
    <xdr:clientData/>
  </xdr:twoCellAnchor>
  <xdr:twoCellAnchor>
    <xdr:from>
      <xdr:col>9</xdr:col>
      <xdr:colOff>175846</xdr:colOff>
      <xdr:row>0</xdr:row>
      <xdr:rowOff>58615</xdr:rowOff>
    </xdr:from>
    <xdr:to>
      <xdr:col>11</xdr:col>
      <xdr:colOff>581645</xdr:colOff>
      <xdr:row>4</xdr:row>
      <xdr:rowOff>112721</xdr:rowOff>
    </xdr:to>
    <xdr:graphicFrame macro="">
      <xdr:nvGraphicFramePr>
        <xdr:cNvPr id="51" name="Chart 50">
          <a:extLst>
            <a:ext uri="{FF2B5EF4-FFF2-40B4-BE49-F238E27FC236}">
              <a16:creationId xmlns:a16="http://schemas.microsoft.com/office/drawing/2014/main" id="{4B404CDA-B1BE-415D-98A2-E8DCAEE33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441868</xdr:colOff>
      <xdr:row>6</xdr:row>
      <xdr:rowOff>67633</xdr:rowOff>
    </xdr:from>
    <xdr:to>
      <xdr:col>11</xdr:col>
      <xdr:colOff>333658</xdr:colOff>
      <xdr:row>13</xdr:row>
      <xdr:rowOff>162319</xdr:rowOff>
    </xdr:to>
    <xdr:graphicFrame macro="">
      <xdr:nvGraphicFramePr>
        <xdr:cNvPr id="52" name="Chart 51">
          <a:extLst>
            <a:ext uri="{FF2B5EF4-FFF2-40B4-BE49-F238E27FC236}">
              <a16:creationId xmlns:a16="http://schemas.microsoft.com/office/drawing/2014/main" id="{DB44D828-A190-4823-AABF-980FC2EDE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306603</xdr:colOff>
      <xdr:row>15</xdr:row>
      <xdr:rowOff>49598</xdr:rowOff>
    </xdr:from>
    <xdr:to>
      <xdr:col>11</xdr:col>
      <xdr:colOff>347184</xdr:colOff>
      <xdr:row>16</xdr:row>
      <xdr:rowOff>18223</xdr:rowOff>
    </xdr:to>
    <xdr:sp macro="" textlink="">
      <xdr:nvSpPr>
        <xdr:cNvPr id="58" name="TextBox 57">
          <a:extLst>
            <a:ext uri="{FF2B5EF4-FFF2-40B4-BE49-F238E27FC236}">
              <a16:creationId xmlns:a16="http://schemas.microsoft.com/office/drawing/2014/main" id="{8A2AF3FB-47B6-8F01-D4A4-B223F40ABC65}"/>
            </a:ext>
          </a:extLst>
        </xdr:cNvPr>
        <xdr:cNvSpPr txBox="1"/>
      </xdr:nvSpPr>
      <xdr:spPr>
        <a:xfrm>
          <a:off x="5176189" y="2822557"/>
          <a:ext cx="1866675" cy="153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No. of Patient by Department Referal</a:t>
          </a:r>
        </a:p>
        <a:p>
          <a:endParaRPr lang="en-IN" sz="900"/>
        </a:p>
      </xdr:txBody>
    </xdr:sp>
    <xdr:clientData/>
  </xdr:twoCellAnchor>
  <xdr:twoCellAnchor editAs="oneCell">
    <xdr:from>
      <xdr:col>5</xdr:col>
      <xdr:colOff>225445</xdr:colOff>
      <xdr:row>0</xdr:row>
      <xdr:rowOff>72141</xdr:rowOff>
    </xdr:from>
    <xdr:to>
      <xdr:col>7</xdr:col>
      <xdr:colOff>157812</xdr:colOff>
      <xdr:row>2</xdr:row>
      <xdr:rowOff>94685</xdr:rowOff>
    </xdr:to>
    <mc:AlternateContent xmlns:mc="http://schemas.openxmlformats.org/markup-compatibility/2006" xmlns:a14="http://schemas.microsoft.com/office/drawing/2010/main">
      <mc:Choice Requires="a14">
        <xdr:graphicFrame macro="">
          <xdr:nvGraphicFramePr>
            <xdr:cNvPr id="60" name="Date (Year)">
              <a:extLst>
                <a:ext uri="{FF2B5EF4-FFF2-40B4-BE49-F238E27FC236}">
                  <a16:creationId xmlns:a16="http://schemas.microsoft.com/office/drawing/2014/main" id="{FB5CA06D-E6B9-4785-8F58-B99D2DD679D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68936" y="72141"/>
              <a:ext cx="1149764" cy="392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403860</xdr:colOff>
      <xdr:row>0</xdr:row>
      <xdr:rowOff>99060</xdr:rowOff>
    </xdr:from>
    <xdr:to>
      <xdr:col>10</xdr:col>
      <xdr:colOff>504825</xdr:colOff>
      <xdr:row>12</xdr:row>
      <xdr:rowOff>57150</xdr:rowOff>
    </xdr:to>
    <xdr:graphicFrame macro="">
      <xdr:nvGraphicFramePr>
        <xdr:cNvPr id="2" name="Chart 1">
          <a:extLst>
            <a:ext uri="{FF2B5EF4-FFF2-40B4-BE49-F238E27FC236}">
              <a16:creationId xmlns:a16="http://schemas.microsoft.com/office/drawing/2014/main" id="{1AEBF087-AC62-43E5-BF88-790F9C8DB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3.22739E-7</cdr:x>
      <cdr:y>9.3906E-7</cdr:y>
    </cdr:from>
    <cdr:to>
      <cdr:x>0.05933</cdr:x>
      <cdr:y>0.17263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E6C3253-C012-1C1E-C22B-A4C57298B7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 y="2"/>
          <a:ext cx="367664" cy="367664"/>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118872</xdr:colOff>
      <xdr:row>0</xdr:row>
      <xdr:rowOff>79248</xdr:rowOff>
    </xdr:from>
    <xdr:to>
      <xdr:col>15</xdr:col>
      <xdr:colOff>359664</xdr:colOff>
      <xdr:row>20</xdr:row>
      <xdr:rowOff>152401</xdr:rowOff>
    </xdr:to>
    <xdr:graphicFrame macro="">
      <xdr:nvGraphicFramePr>
        <xdr:cNvPr id="2" name="Chart 1">
          <a:extLst>
            <a:ext uri="{FF2B5EF4-FFF2-40B4-BE49-F238E27FC236}">
              <a16:creationId xmlns:a16="http://schemas.microsoft.com/office/drawing/2014/main" id="{0715715B-F008-4C1C-8D18-9990883C5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115824</xdr:colOff>
      <xdr:row>0</xdr:row>
      <xdr:rowOff>73152</xdr:rowOff>
    </xdr:from>
    <xdr:to>
      <xdr:col>0</xdr:col>
      <xdr:colOff>548640</xdr:colOff>
      <xdr:row>2</xdr:row>
      <xdr:rowOff>140208</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4209E36-4B51-FFFA-8323-21347EA3B8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824" y="73152"/>
          <a:ext cx="432816" cy="4328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0</xdr:row>
      <xdr:rowOff>114300</xdr:rowOff>
    </xdr:from>
    <xdr:to>
      <xdr:col>14</xdr:col>
      <xdr:colOff>83820</xdr:colOff>
      <xdr:row>18</xdr:row>
      <xdr:rowOff>53340</xdr:rowOff>
    </xdr:to>
    <xdr:graphicFrame macro="">
      <xdr:nvGraphicFramePr>
        <xdr:cNvPr id="2" name="Chart 1">
          <a:extLst>
            <a:ext uri="{FF2B5EF4-FFF2-40B4-BE49-F238E27FC236}">
              <a16:creationId xmlns:a16="http://schemas.microsoft.com/office/drawing/2014/main" id="{02C4446E-C47C-4969-B85C-5412FD3B4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128067</xdr:colOff>
      <xdr:row>0</xdr:row>
      <xdr:rowOff>140876</xdr:rowOff>
    </xdr:from>
    <xdr:to>
      <xdr:col>0</xdr:col>
      <xdr:colOff>505866</xdr:colOff>
      <xdr:row>2</xdr:row>
      <xdr:rowOff>124790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C4C8A28-1D28-C927-D87D-5E268137B5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067" y="140876"/>
          <a:ext cx="377799" cy="35530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17824074" createdVersion="5" refreshedVersion="8" minRefreshableVersion="3" recordCount="0" supportSubquery="1" supportAdvancedDrill="1" xr:uid="{9F659C71-27ED-4810-B74A-82CC407F2B39}">
  <cacheSource type="external" connectionId="3"/>
  <cacheFields count="4">
    <cacheField name="[Measures].[Distinct Count of Patient Id]" caption="Distinct Count of Patient Id" numFmtId="0" hierarchy="25" level="32767"/>
    <cacheField name="[Calender_Table].[Date (Day)].[Date (Day)]" caption="Date (Day)" numFmtId="0" hierarchy="2" level="1">
      <sharedItems count="61">
        <s v="1-Apr"/>
        <s v="2-Apr"/>
        <s v="3-Apr"/>
        <s v="4-Apr"/>
        <s v="5-Apr"/>
        <s v="6-Apr"/>
        <s v="7-Apr"/>
        <s v="8-Apr"/>
        <s v="9-Apr"/>
        <s v="10-Apr"/>
        <s v="11-Apr"/>
        <s v="12-Apr"/>
        <s v="13-Apr"/>
        <s v="14-Apr"/>
        <s v="15-Apr"/>
        <s v="16-Apr"/>
        <s v="17-Apr"/>
        <s v="18-Apr"/>
        <s v="19-Apr"/>
        <s v="20-Apr"/>
        <s v="21-Apr"/>
        <s v="22-Apr"/>
        <s v="23-Apr"/>
        <s v="24-Apr"/>
        <s v="25-Apr"/>
        <s v="26-Apr"/>
        <s v="27-Apr"/>
        <s v="28-Apr"/>
        <s v="29-Apr"/>
        <s v="30-Apr"/>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21527776" createdVersion="5" refreshedVersion="8" minRefreshableVersion="3" recordCount="0" supportSubquery="1" supportAdvancedDrill="1" xr:uid="{E3F717C5-403F-45A6-BBD4-133CB0E8FAF8}">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23726854" createdVersion="5" refreshedVersion="8" minRefreshableVersion="3" recordCount="0" supportSubquery="1" supportAdvancedDrill="1" xr:uid="{6023B181-6B6F-4D4F-A85C-B2BDE10E9044}">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26504633" createdVersion="5" refreshedVersion="8" minRefreshableVersion="3" recordCount="0" supportSubquery="1" supportAdvancedDrill="1" xr:uid="{EEBA7162-893E-4328-AFDD-5A169D382280}">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2939815" createdVersion="5" refreshedVersion="8" minRefreshableVersion="3" recordCount="0" supportSubquery="1" supportAdvancedDrill="1" xr:uid="{DD46F364-9A4C-4753-B47C-48ABFD6FB616}">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32060183" createdVersion="5" refreshedVersion="8" minRefreshableVersion="3" recordCount="0" supportSubquery="1" supportAdvancedDrill="1" xr:uid="{169A8B40-8FD8-48FF-9502-4CF1D20DADCE}">
  <cacheSource type="external" connectionId="3"/>
  <cacheFields count="4">
    <cacheField name="[Calende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35185185" createdVersion="5" refreshedVersion="8" minRefreshableVersion="3" recordCount="0" supportSubquery="1" supportAdvancedDrill="1" xr:uid="{76E06E43-8121-40E9-A69A-F2EB07133159}">
  <cacheSource type="external" connectionId="3"/>
  <cacheFields count="5">
    <cacheField name="[Calender_Table].[Date (Month)].[Date (Month)]" caption="Date (Month)" numFmtId="0" hierarchy="1" level="1">
      <sharedItems containsSemiMixedTypes="0" containsNonDate="0" containsString="0"/>
    </cacheField>
    <cacheField name="[Hospital ER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fieldsUsage count="2">
        <fieldUsage x="-1"/>
        <fieldUsage x="1"/>
      </fieldsUsage>
    </cacheHierarchy>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38078703" createdVersion="5" refreshedVersion="8" minRefreshableVersion="3" recordCount="0" supportSubquery="1" supportAdvancedDrill="1" xr:uid="{1FA9F514-98FC-4904-9712-8655CE54311D}">
  <cacheSource type="external" connectionId="3"/>
  <cacheFields count="4">
    <cacheField name="[Calender_Table].[Date (Month)].[Date (Month)]" caption="Date (Month)" numFmtId="0" hierarchy="1" level="1">
      <sharedItems containsSemiMixedTypes="0" containsNonDate="0" containsString="0"/>
    </cacheField>
    <cacheField name="[Hospital ER_Data].[Age Group].[Age Group]" caption="Age Group" numFmtId="0" hierarchy="17" level="1">
      <sharedItems count="8">
        <s v="0-09"/>
        <s v="10-19"/>
        <s v="20-29"/>
        <s v="30-39"/>
        <s v="40-49"/>
        <s v="50-59"/>
        <s v="60-69"/>
        <s v="70-79"/>
      </sharedItems>
    </cacheField>
    <cacheField name="[Measures].[Count of Patient Id]" caption="Count of Patient Id" numFmtId="0" hierarchy="2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fieldsUsage count="2">
        <fieldUsage x="-1"/>
        <fieldUsage x="1"/>
      </fieldsUsage>
    </cacheHierarchy>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4097222" createdVersion="5" refreshedVersion="8" minRefreshableVersion="3" recordCount="0" supportSubquery="1" supportAdvancedDrill="1" xr:uid="{0F4B012B-921E-43A3-B89D-C45FE5257A6D}">
  <cacheSource type="external" connectionId="3"/>
  <cacheFields count="4">
    <cacheField name="[Calender_Table].[Date (Month)].[Date (Month)]" caption="Date (Month)" numFmtId="0" hierarchy="1" level="1">
      <sharedItems containsSemiMixedTypes="0" containsNonDate="0" containsString="0"/>
    </cacheField>
    <cacheField name="[Hospital ER_Data].[Patient Attend Status].[Patient Attend Status]" caption="Patient Attend Status" numFmtId="0" hierarchy="18" level="1">
      <sharedItems count="2">
        <s v="Delay"/>
        <s v="On 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43749999" createdVersion="5" refreshedVersion="8" minRefreshableVersion="3" recordCount="0" supportSubquery="1" supportAdvancedDrill="1" xr:uid="{0DC2956B-39F0-479A-A82F-245E8897432A}">
  <cacheSource type="external" connectionId="3"/>
  <cacheFields count="4">
    <cacheField name="[Calender_Table].[Date (Month)].[Date (Month)]" caption="Date (Month)" numFmtId="0" hierarchy="1" level="1">
      <sharedItems containsSemiMixedTypes="0" containsNonDate="0" containsString="0"/>
    </cacheField>
    <cacheField name="[Hospital ER_Data].[Patient Gender].[Patient Gender]" caption="Patient Gender" numFmtId="0" hierarchy="9" level="1">
      <sharedItems count="3">
        <s v="Female"/>
        <s v="Male"/>
        <s v="NC"/>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fieldsUsage count="2">
        <fieldUsage x="-1"/>
        <fieldUsage x="1"/>
      </fieldsUsage>
    </cacheHierarchy>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46643516" createdVersion="5" refreshedVersion="8" minRefreshableVersion="3" recordCount="0" supportSubquery="1" supportAdvancedDrill="1" xr:uid="{95BD052A-823B-4341-9973-E6B00CB1828B}">
  <cacheSource type="external" connectionId="3"/>
  <cacheFields count="4">
    <cacheField name="[Calender_Table].[Date (Month)].[Date (Month)]" caption="Date (Month)" numFmtId="0" hierarchy="1" level="1">
      <sharedItems containsSemiMixedTypes="0" containsNonDate="0" containsString="0"/>
    </cacheField>
    <cacheField name="[Hospital 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fieldsUsage count="2">
        <fieldUsage x="-1"/>
        <fieldUsage x="1"/>
      </fieldsUsage>
    </cacheHierarchy>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98.872449652779" createdVersion="5" refreshedVersion="8" minRefreshableVersion="3" recordCount="0" supportSubquery="1" supportAdvancedDrill="1" xr:uid="{C02A5B62-92FB-452E-8625-AC9F22DE6103}">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R_Data].[Patient Id]" caption="Patient Id" attribute="1" defaultMemberUniqueName="[Hospital ER_Data].[Patient Id].[All]" allUniqueName="[Hospital ER_Data].[Patient Id].[All]" dimensionUniqueName="[Hospital ER_Data]" displayFolder="" count="2"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2"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2" memberValueDatatype="7" unbalanced="0"/>
    <cacheHierarchy uniqueName="[Hospital ER_Data].[Merged]" caption="Merged" attribute="1" defaultMemberUniqueName="[Hospital ER_Data].[Merged].[All]" allUniqueName="[Hospital ER_Data].[Merged].[All]" dimensionUniqueName="[Hospital ER_Data]" displayFolder="" count="2"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cacheHierarchy uniqueName="[Hospital ER_Data].[Patient Age]" caption="Patient Age" attribute="1" defaultMemberUniqueName="[Hospital ER_Data].[Patient Age].[All]" allUniqueName="[Hospital ER_Data].[Patient Age].[All]" dimensionUniqueName="[Hospital ER_Data]" displayFolder="" count="2" memberValueDatatype="20" unbalanced="0"/>
    <cacheHierarchy uniqueName="[Hospital ER_Data].[Patient Race]" caption="Patient Race" attribute="1" defaultMemberUniqueName="[Hospital ER_Data].[Patient Race].[All]" allUniqueName="[Hospital ER_Data].[Patient Race].[All]" dimensionUniqueName="[Hospital ER_Data]" displayFolder="" count="2"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2"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2" memberValueDatatype="20" unbalanced="0"/>
    <cacheHierarchy uniqueName="[Hospital ER_Data].[Patients CM]" caption="Patients CM" attribute="1" defaultMemberUniqueName="[Hospital ER_Data].[Patients CM].[All]" allUniqueName="[Hospital ER_Data].[Patients CM].[All]" dimensionUniqueName="[Hospital ER_Data]" displayFolder="" count="2"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m Anam" refreshedDate="46005.767341666666" createdVersion="3" refreshedVersion="8" minRefreshableVersion="3" recordCount="0" supportSubquery="1" supportAdvancedDrill="1" xr:uid="{2B743242-70DB-402C-8E13-1AE92E161CE2}">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R_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173905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7CF9B-AA5B-48D4-AA14-4397A04AD1F7}" name="PivotTable11" cacheId="42"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8">
  <location ref="A70: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 Gender" fld="2" subtotal="count" baseField="0" baseItem="0"/>
  </dataFields>
  <formats count="1">
    <format dxfId="14">
      <pivotArea outline="0" collapsedLevelsAreSubtotals="1" fieldPosition="0"/>
    </format>
  </format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D4C13F-DD44-4C6A-A0F5-EA3E565EF72D}" name="PivotTable5" cacheId="33"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7">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Co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6">
      <pivotArea outline="0" collapsedLevelsAreSubtotals="1" fieldPosition="0"/>
    </format>
    <format dxfId="15">
      <pivotArea outline="0" fieldPosition="0">
        <references count="1">
          <reference field="4294967294" count="1">
            <x v="1"/>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0B3738-9BF1-4DA7-8699-254817A5C279}" name="PivotTable10" cacheId="39"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43">
  <location ref="F56:G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7">
      <pivotArea outline="0" collapsedLevelsAreSubtotals="1" fieldPosition="0"/>
    </format>
  </formats>
  <chartFormats count="6">
    <chartFormat chart="23" format="15"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1" count="1" selected="0">
            <x v="0"/>
          </reference>
        </references>
      </pivotArea>
    </chartFormat>
    <chartFormat chart="18" format="16">
      <pivotArea type="data" outline="0" fieldPosition="0">
        <references count="2">
          <reference field="4294967294" count="1" selected="0">
            <x v="0"/>
          </reference>
          <reference field="1" count="1" selected="0">
            <x v="1"/>
          </reference>
        </references>
      </pivotArea>
    </chartFormat>
    <chartFormat chart="23" format="16">
      <pivotArea type="data" outline="0" fieldPosition="0">
        <references count="2">
          <reference field="4294967294" count="1" selected="0">
            <x v="0"/>
          </reference>
          <reference field="1" count="1" selected="0">
            <x v="0"/>
          </reference>
        </references>
      </pivotArea>
    </chartFormat>
    <chartFormat chart="23" format="17">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3E4DDF-09B4-414F-AB3A-A2425A14DA8C}" name="PivotTable13" cacheId="48"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14">
  <location ref="A93:A95"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8">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C8DAD-4139-4B7D-A8C0-3077022C37B0}" name="PivotTable12" cacheId="45"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14">
  <location ref="A77:B8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20">
      <pivotArea outline="0" collapsedLevelsAreSubtotals="1" fieldPosition="0"/>
    </format>
    <format dxfId="19">
      <pivotArea collapsedLevelsAreSubtotals="1" fieldPosition="0">
        <references count="1">
          <reference field="1" count="0"/>
        </references>
      </pivotArea>
    </format>
  </formats>
  <chartFormats count="2">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387A13-738E-48E5-8C5B-E8704F03449B}" name="PivotTable1" cacheId="18"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3205B2-4FD5-4DB4-A77A-1EBE7B9637D0}" name="PivotTable2" cacheId="21"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4E0486-4E84-4A1B-98DB-D80DFB81E4B5}" name="PivotTable9" cacheId="36"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11">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3">
    <format dxfId="24">
      <pivotArea outline="0" collapsedLevelsAreSubtotals="1" fieldPosition="0"/>
    </format>
    <format dxfId="23">
      <pivotArea collapsedLevelsAreSubtotals="1" fieldPosition="0">
        <references count="1">
          <reference field="1" count="1">
            <x v="0"/>
          </reference>
        </references>
      </pivotArea>
    </format>
    <format dxfId="22">
      <pivotArea collapsedLevelsAreSubtotals="1" fieldPosition="0">
        <references count="1">
          <reference field="1" count="7">
            <x v="1"/>
            <x v="2"/>
            <x v="3"/>
            <x v="4"/>
            <x v="5"/>
            <x v="6"/>
            <x v="7"/>
          </reference>
        </references>
      </pivotArea>
    </format>
  </formats>
  <chartFormats count="1">
    <chartFormat chart="10"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5BF9F0-3469-4570-8654-C89FE85CFC78}" name="PivotTable4" cacheId="15"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37">
  <location ref="E7:F38" firstHeaderRow="1" firstDataRow="1" firstDataCol="1"/>
  <pivotFields count="4">
    <pivotField dataField="1" subtotalTop="0" showAll="0" defaultSubtotal="0"/>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5">
    <chartFormat chart="22" format="15"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1" count="1" selected="0">
            <x v="30"/>
          </reference>
        </references>
      </pivotArea>
    </chartFormat>
    <chartFormat chart="26" format="15" series="1">
      <pivotArea type="data" outline="0" fieldPosition="0">
        <references count="1">
          <reference field="4294967294" count="1" selected="0">
            <x v="0"/>
          </reference>
        </references>
      </pivotArea>
    </chartFormat>
    <chartFormat chart="27" format="18">
      <pivotArea type="data" outline="0" fieldPosition="0">
        <references count="2">
          <reference field="4294967294" count="1" selected="0">
            <x v="0"/>
          </reference>
          <reference field="1" count="1" selected="0">
            <x v="31"/>
          </reference>
        </references>
      </pivotArea>
    </chartFormat>
    <chartFormat chart="27" format="19">
      <pivotArea type="data" outline="0" fieldPosition="0">
        <references count="2">
          <reference field="4294967294" count="1" selected="0">
            <x v="0"/>
          </reference>
          <reference field="1" count="1" selected="0">
            <x v="32"/>
          </reference>
        </references>
      </pivotArea>
    </chartFormat>
    <chartFormat chart="27" format="20">
      <pivotArea type="data" outline="0" fieldPosition="0">
        <references count="2">
          <reference field="4294967294" count="1" selected="0">
            <x v="0"/>
          </reference>
          <reference field="1" count="1" selected="0">
            <x v="33"/>
          </reference>
        </references>
      </pivotArea>
    </chartFormat>
    <chartFormat chart="27" format="21">
      <pivotArea type="data" outline="0" fieldPosition="0">
        <references count="2">
          <reference field="4294967294" count="1" selected="0">
            <x v="0"/>
          </reference>
          <reference field="1" count="1" selected="0">
            <x v="34"/>
          </reference>
        </references>
      </pivotArea>
    </chartFormat>
    <chartFormat chart="27" format="22">
      <pivotArea type="data" outline="0" fieldPosition="0">
        <references count="2">
          <reference field="4294967294" count="1" selected="0">
            <x v="0"/>
          </reference>
          <reference field="1" count="1" selected="0">
            <x v="35"/>
          </reference>
        </references>
      </pivotArea>
    </chartFormat>
    <chartFormat chart="27" format="23">
      <pivotArea type="data" outline="0" fieldPosition="0">
        <references count="2">
          <reference field="4294967294" count="1" selected="0">
            <x v="0"/>
          </reference>
          <reference field="1" count="1" selected="0">
            <x v="36"/>
          </reference>
        </references>
      </pivotArea>
    </chartFormat>
    <chartFormat chart="27" format="24">
      <pivotArea type="data" outline="0" fieldPosition="0">
        <references count="2">
          <reference field="4294967294" count="1" selected="0">
            <x v="0"/>
          </reference>
          <reference field="1" count="1" selected="0">
            <x v="37"/>
          </reference>
        </references>
      </pivotArea>
    </chartFormat>
    <chartFormat chart="27" format="25">
      <pivotArea type="data" outline="0" fieldPosition="0">
        <references count="2">
          <reference field="4294967294" count="1" selected="0">
            <x v="0"/>
          </reference>
          <reference field="1" count="1" selected="0">
            <x v="38"/>
          </reference>
        </references>
      </pivotArea>
    </chartFormat>
    <chartFormat chart="27" format="26">
      <pivotArea type="data" outline="0" fieldPosition="0">
        <references count="2">
          <reference field="4294967294" count="1" selected="0">
            <x v="0"/>
          </reference>
          <reference field="1" count="1" selected="0">
            <x v="39"/>
          </reference>
        </references>
      </pivotArea>
    </chartFormat>
    <chartFormat chart="27" format="27">
      <pivotArea type="data" outline="0" fieldPosition="0">
        <references count="2">
          <reference field="4294967294" count="1" selected="0">
            <x v="0"/>
          </reference>
          <reference field="1" count="1" selected="0">
            <x v="40"/>
          </reference>
        </references>
      </pivotArea>
    </chartFormat>
    <chartFormat chart="27" format="28">
      <pivotArea type="data" outline="0" fieldPosition="0">
        <references count="2">
          <reference field="4294967294" count="1" selected="0">
            <x v="0"/>
          </reference>
          <reference field="1" count="1" selected="0">
            <x v="41"/>
          </reference>
        </references>
      </pivotArea>
    </chartFormat>
    <chartFormat chart="27" format="29">
      <pivotArea type="data" outline="0" fieldPosition="0">
        <references count="2">
          <reference field="4294967294" count="1" selected="0">
            <x v="0"/>
          </reference>
          <reference field="1" count="1" selected="0">
            <x v="42"/>
          </reference>
        </references>
      </pivotArea>
    </chartFormat>
    <chartFormat chart="27" format="30">
      <pivotArea type="data" outline="0" fieldPosition="0">
        <references count="2">
          <reference field="4294967294" count="1" selected="0">
            <x v="0"/>
          </reference>
          <reference field="1" count="1" selected="0">
            <x v="43"/>
          </reference>
        </references>
      </pivotArea>
    </chartFormat>
    <chartFormat chart="27" format="31">
      <pivotArea type="data" outline="0" fieldPosition="0">
        <references count="2">
          <reference field="4294967294" count="1" selected="0">
            <x v="0"/>
          </reference>
          <reference field="1" count="1" selected="0">
            <x v="44"/>
          </reference>
        </references>
      </pivotArea>
    </chartFormat>
    <chartFormat chart="27" format="32">
      <pivotArea type="data" outline="0" fieldPosition="0">
        <references count="2">
          <reference field="4294967294" count="1" selected="0">
            <x v="0"/>
          </reference>
          <reference field="1" count="1" selected="0">
            <x v="45"/>
          </reference>
        </references>
      </pivotArea>
    </chartFormat>
    <chartFormat chart="27" format="33">
      <pivotArea type="data" outline="0" fieldPosition="0">
        <references count="2">
          <reference field="4294967294" count="1" selected="0">
            <x v="0"/>
          </reference>
          <reference field="1" count="1" selected="0">
            <x v="46"/>
          </reference>
        </references>
      </pivotArea>
    </chartFormat>
    <chartFormat chart="27" format="34">
      <pivotArea type="data" outline="0" fieldPosition="0">
        <references count="2">
          <reference field="4294967294" count="1" selected="0">
            <x v="0"/>
          </reference>
          <reference field="1" count="1" selected="0">
            <x v="47"/>
          </reference>
        </references>
      </pivotArea>
    </chartFormat>
    <chartFormat chart="27" format="35">
      <pivotArea type="data" outline="0" fieldPosition="0">
        <references count="2">
          <reference field="4294967294" count="1" selected="0">
            <x v="0"/>
          </reference>
          <reference field="1" count="1" selected="0">
            <x v="48"/>
          </reference>
        </references>
      </pivotArea>
    </chartFormat>
    <chartFormat chart="27" format="36">
      <pivotArea type="data" outline="0" fieldPosition="0">
        <references count="2">
          <reference field="4294967294" count="1" selected="0">
            <x v="0"/>
          </reference>
          <reference field="1" count="1" selected="0">
            <x v="49"/>
          </reference>
        </references>
      </pivotArea>
    </chartFormat>
    <chartFormat chart="27" format="37">
      <pivotArea type="data" outline="0" fieldPosition="0">
        <references count="2">
          <reference field="4294967294" count="1" selected="0">
            <x v="0"/>
          </reference>
          <reference field="1" count="1" selected="0">
            <x v="50"/>
          </reference>
        </references>
      </pivotArea>
    </chartFormat>
    <chartFormat chart="27" format="38">
      <pivotArea type="data" outline="0" fieldPosition="0">
        <references count="2">
          <reference field="4294967294" count="1" selected="0">
            <x v="0"/>
          </reference>
          <reference field="1" count="1" selected="0">
            <x v="51"/>
          </reference>
        </references>
      </pivotArea>
    </chartFormat>
    <chartFormat chart="27" format="39">
      <pivotArea type="data" outline="0" fieldPosition="0">
        <references count="2">
          <reference field="4294967294" count="1" selected="0">
            <x v="0"/>
          </reference>
          <reference field="1" count="1" selected="0">
            <x v="52"/>
          </reference>
        </references>
      </pivotArea>
    </chartFormat>
    <chartFormat chart="27" format="40">
      <pivotArea type="data" outline="0" fieldPosition="0">
        <references count="2">
          <reference field="4294967294" count="1" selected="0">
            <x v="0"/>
          </reference>
          <reference field="1" count="1" selected="0">
            <x v="53"/>
          </reference>
        </references>
      </pivotArea>
    </chartFormat>
    <chartFormat chart="27" format="41">
      <pivotArea type="data" outline="0" fieldPosition="0">
        <references count="2">
          <reference field="4294967294" count="1" selected="0">
            <x v="0"/>
          </reference>
          <reference field="1" count="1" selected="0">
            <x v="54"/>
          </reference>
        </references>
      </pivotArea>
    </chartFormat>
    <chartFormat chart="27" format="42">
      <pivotArea type="data" outline="0" fieldPosition="0">
        <references count="2">
          <reference field="4294967294" count="1" selected="0">
            <x v="0"/>
          </reference>
          <reference field="1" count="1" selected="0">
            <x v="55"/>
          </reference>
        </references>
      </pivotArea>
    </chartFormat>
    <chartFormat chart="27" format="43">
      <pivotArea type="data" outline="0" fieldPosition="0">
        <references count="2">
          <reference field="4294967294" count="1" selected="0">
            <x v="0"/>
          </reference>
          <reference field="1" count="1" selected="0">
            <x v="56"/>
          </reference>
        </references>
      </pivotArea>
    </chartFormat>
    <chartFormat chart="27" format="44">
      <pivotArea type="data" outline="0" fieldPosition="0">
        <references count="2">
          <reference field="4294967294" count="1" selected="0">
            <x v="0"/>
          </reference>
          <reference field="1" count="1" selected="0">
            <x v="57"/>
          </reference>
        </references>
      </pivotArea>
    </chartFormat>
    <chartFormat chart="27" format="45">
      <pivotArea type="data" outline="0" fieldPosition="0">
        <references count="2">
          <reference field="4294967294" count="1" selected="0">
            <x v="0"/>
          </reference>
          <reference field="1" count="1" selected="0">
            <x v="58"/>
          </reference>
        </references>
      </pivotArea>
    </chartFormat>
    <chartFormat chart="27" format="46">
      <pivotArea type="data" outline="0" fieldPosition="0">
        <references count="2">
          <reference field="4294967294" count="1" selected="0">
            <x v="0"/>
          </reference>
          <reference field="1" count="1" selected="0">
            <x v="59"/>
          </reference>
        </references>
      </pivotArea>
    </chartFormat>
    <chartFormat chart="27" format="47">
      <pivotArea type="data" outline="0" fieldPosition="0">
        <references count="2">
          <reference field="4294967294" count="1" selected="0">
            <x v="0"/>
          </reference>
          <reference field="1" count="1" selected="0">
            <x v="6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7EE472-9A8D-4E77-B3BC-C40268044729}" name="PivotTable3" cacheId="24"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5">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FA555A-7821-4EB1-9409-482786E94616}" name="PivotTable7" cacheId="30"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54">
  <location ref="P5:Q33"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26">
      <pivotArea outline="0" collapsedLevelsAreSubtotals="1" fieldPosition="0"/>
    </format>
  </formats>
  <chartFormats count="5">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0FF6FE-D73D-4A85-B9E7-3CB1C0F97E53}" name="PivotTable6" cacheId="27" applyNumberFormats="0" applyBorderFormats="0" applyFontFormats="0" applyPatternFormats="0" applyAlignmentFormats="0" applyWidthHeightFormats="1" dataCaption="Values" tag="89174a80-7afd-4774-9dcd-c794c9636595" updatedVersion="8" minRefreshableVersion="3" subtotalHiddenItems="1" itemPrintTitles="1" createdVersion="5" indent="0" outline="1" outlineData="1" multipleFieldFilters="0" chartFormat="46">
  <location ref="L6:M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7">
      <pivotArea outline="0" collapsedLevelsAreSubtotals="1" fieldPosition="0"/>
    </format>
  </formats>
  <chartFormats count="3">
    <chartFormat chart="36" format="0"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1083807-0B02-4AE5-92F3-3268EEDC06E6}"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5"/>
    <pivotTable tabId="1" name="PivotTable9"/>
    <pivotTable tabId="1" name="PivotTable10"/>
    <pivotTable tabId="1" name="PivotTable11"/>
    <pivotTable tabId="1" name="PivotTable12"/>
    <pivotTable tabId="1" name="PivotTable13"/>
  </pivotTables>
  <data>
    <olap pivotCacheId="111739050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8576986-7A7F-4810-A1F3-CCC4F2A30FF5}"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11739050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15FD197-A9C3-4F1A-B1B6-1062B835E421}" cache="Slicer_Date__Month" caption="Date (Month)" showCaption="0" level="1" style="My style" rowHeight="151200"/>
  <slicer name="Date (Year)" xr10:uid="{2A35F280-EDB6-4BCF-9039-060F4BFDB80F}"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3C7E-DB94-4F79-9345-CBA28FE2D73F}">
  <dimension ref="A5:Q95"/>
  <sheetViews>
    <sheetView topLeftCell="A73" workbookViewId="0">
      <selection activeCell="A93" sqref="A93"/>
    </sheetView>
  </sheetViews>
  <sheetFormatPr defaultRowHeight="14.4" x14ac:dyDescent="0.3"/>
  <cols>
    <col min="1" max="1" width="16" customWidth="1"/>
    <col min="2" max="2" width="13.77734375" customWidth="1"/>
    <col min="3" max="3" width="12.21875" customWidth="1"/>
    <col min="4" max="4" width="15" customWidth="1"/>
    <col min="5" max="5" width="13.21875" customWidth="1"/>
    <col min="6" max="6" width="17.77734375" customWidth="1"/>
    <col min="7" max="7" width="17" bestFit="1" customWidth="1"/>
    <col min="12" max="12" width="12.5546875" bestFit="1" customWidth="1"/>
    <col min="13" max="13" width="23.88671875" bestFit="1" customWidth="1"/>
    <col min="16" max="16" width="12.5546875" bestFit="1" customWidth="1"/>
    <col min="17" max="17" width="32.44140625" bestFit="1" customWidth="1"/>
  </cols>
  <sheetData>
    <row r="5" spans="1:17" x14ac:dyDescent="0.3">
      <c r="P5" s="1" t="s">
        <v>5</v>
      </c>
      <c r="Q5" t="s">
        <v>3</v>
      </c>
    </row>
    <row r="6" spans="1:17" x14ac:dyDescent="0.3">
      <c r="A6" t="s">
        <v>1</v>
      </c>
      <c r="L6" s="1" t="s">
        <v>5</v>
      </c>
      <c r="M6" t="s">
        <v>2</v>
      </c>
      <c r="P6" s="5" t="s">
        <v>44</v>
      </c>
      <c r="Q6" s="2">
        <v>4.5999999999999996</v>
      </c>
    </row>
    <row r="7" spans="1:17" x14ac:dyDescent="0.3">
      <c r="A7" t="s">
        <v>0</v>
      </c>
      <c r="E7" s="1" t="s">
        <v>5</v>
      </c>
      <c r="F7" t="s">
        <v>0</v>
      </c>
      <c r="L7" s="5" t="s">
        <v>43</v>
      </c>
      <c r="M7" s="2">
        <v>31.833333333333332</v>
      </c>
      <c r="P7" s="5" t="s">
        <v>45</v>
      </c>
      <c r="Q7" s="2">
        <v>4.5999999999999996</v>
      </c>
    </row>
    <row r="8" spans="1:17" x14ac:dyDescent="0.3">
      <c r="A8" s="14">
        <v>469</v>
      </c>
      <c r="E8" s="5" t="s">
        <v>43</v>
      </c>
      <c r="F8" s="14">
        <v>12</v>
      </c>
      <c r="L8" s="5" t="s">
        <v>44</v>
      </c>
      <c r="M8" s="2">
        <v>39.368421052631582</v>
      </c>
      <c r="P8" s="5" t="s">
        <v>46</v>
      </c>
      <c r="Q8" s="2">
        <v>5.666666666666667</v>
      </c>
    </row>
    <row r="9" spans="1:17" x14ac:dyDescent="0.3">
      <c r="E9" s="5" t="s">
        <v>44</v>
      </c>
      <c r="F9" s="14">
        <v>19</v>
      </c>
      <c r="L9" s="5" t="s">
        <v>45</v>
      </c>
      <c r="M9" s="2">
        <v>32.352941176470587</v>
      </c>
      <c r="P9" s="5" t="s">
        <v>47</v>
      </c>
      <c r="Q9" s="2">
        <v>3.4</v>
      </c>
    </row>
    <row r="10" spans="1:17" x14ac:dyDescent="0.3">
      <c r="E10" s="5" t="s">
        <v>45</v>
      </c>
      <c r="F10" s="14">
        <v>17</v>
      </c>
      <c r="L10" s="5" t="s">
        <v>46</v>
      </c>
      <c r="M10" s="2">
        <v>34.049999999999997</v>
      </c>
      <c r="P10" s="5" t="s">
        <v>48</v>
      </c>
      <c r="Q10" s="2">
        <v>4.333333333333333</v>
      </c>
    </row>
    <row r="11" spans="1:17" x14ac:dyDescent="0.3">
      <c r="E11" s="5" t="s">
        <v>46</v>
      </c>
      <c r="F11" s="14">
        <v>20</v>
      </c>
      <c r="L11" s="5" t="s">
        <v>47</v>
      </c>
      <c r="M11" s="2">
        <v>31.8</v>
      </c>
      <c r="P11" s="5" t="s">
        <v>49</v>
      </c>
      <c r="Q11" s="2">
        <v>4.4000000000000004</v>
      </c>
    </row>
    <row r="12" spans="1:17" x14ac:dyDescent="0.3">
      <c r="E12" s="5" t="s">
        <v>47</v>
      </c>
      <c r="F12" s="14">
        <v>15</v>
      </c>
      <c r="L12" s="5" t="s">
        <v>48</v>
      </c>
      <c r="M12" s="2">
        <v>37.823529411764703</v>
      </c>
      <c r="P12" s="5" t="s">
        <v>50</v>
      </c>
      <c r="Q12" s="2">
        <v>4.25</v>
      </c>
    </row>
    <row r="13" spans="1:17" x14ac:dyDescent="0.3">
      <c r="E13" s="5" t="s">
        <v>48</v>
      </c>
      <c r="F13" s="14">
        <v>17</v>
      </c>
      <c r="L13" s="5" t="s">
        <v>49</v>
      </c>
      <c r="M13" s="2">
        <v>31.875</v>
      </c>
      <c r="P13" s="5" t="s">
        <v>51</v>
      </c>
      <c r="Q13" s="2">
        <v>4.5999999999999996</v>
      </c>
    </row>
    <row r="14" spans="1:17" x14ac:dyDescent="0.3">
      <c r="A14" t="s">
        <v>2</v>
      </c>
      <c r="E14" s="5" t="s">
        <v>49</v>
      </c>
      <c r="F14" s="14">
        <v>16</v>
      </c>
      <c r="L14" s="5" t="s">
        <v>50</v>
      </c>
      <c r="M14" s="2">
        <v>27.3</v>
      </c>
      <c r="P14" s="5" t="s">
        <v>53</v>
      </c>
      <c r="Q14" s="2">
        <v>2.3333333333333335</v>
      </c>
    </row>
    <row r="15" spans="1:17" x14ac:dyDescent="0.3">
      <c r="A15" s="2">
        <v>35.044776119402982</v>
      </c>
      <c r="E15" s="5" t="s">
        <v>50</v>
      </c>
      <c r="F15" s="14">
        <v>10</v>
      </c>
      <c r="L15" s="5" t="s">
        <v>51</v>
      </c>
      <c r="M15" s="2">
        <v>31.933333333333334</v>
      </c>
      <c r="P15" s="5" t="s">
        <v>54</v>
      </c>
      <c r="Q15" s="2">
        <v>9</v>
      </c>
    </row>
    <row r="16" spans="1:17" x14ac:dyDescent="0.3">
      <c r="E16" s="5" t="s">
        <v>51</v>
      </c>
      <c r="F16" s="14">
        <v>15</v>
      </c>
      <c r="L16" s="5" t="s">
        <v>52</v>
      </c>
      <c r="M16" s="2">
        <v>30.5</v>
      </c>
      <c r="P16" s="5" t="s">
        <v>55</v>
      </c>
      <c r="Q16" s="2">
        <v>2.75</v>
      </c>
    </row>
    <row r="17" spans="1:17" x14ac:dyDescent="0.3">
      <c r="E17" s="5" t="s">
        <v>52</v>
      </c>
      <c r="F17" s="14">
        <v>14</v>
      </c>
      <c r="L17" s="5" t="s">
        <v>53</v>
      </c>
      <c r="M17" s="2">
        <v>38.0625</v>
      </c>
      <c r="P17" s="5" t="s">
        <v>56</v>
      </c>
      <c r="Q17" s="2">
        <v>6.8888888888888893</v>
      </c>
    </row>
    <row r="18" spans="1:17" x14ac:dyDescent="0.3">
      <c r="E18" s="5" t="s">
        <v>53</v>
      </c>
      <c r="F18" s="14">
        <v>16</v>
      </c>
      <c r="L18" s="5" t="s">
        <v>54</v>
      </c>
      <c r="M18" s="2">
        <v>36.333333333333336</v>
      </c>
      <c r="P18" s="5" t="s">
        <v>57</v>
      </c>
      <c r="Q18" s="2">
        <v>5</v>
      </c>
    </row>
    <row r="19" spans="1:17" x14ac:dyDescent="0.3">
      <c r="A19" t="s">
        <v>3</v>
      </c>
      <c r="E19" s="5" t="s">
        <v>54</v>
      </c>
      <c r="F19" s="14">
        <v>12</v>
      </c>
      <c r="L19" s="5" t="s">
        <v>55</v>
      </c>
      <c r="M19" s="2">
        <v>27</v>
      </c>
      <c r="P19" s="5" t="s">
        <v>58</v>
      </c>
      <c r="Q19" s="2">
        <v>4.166666666666667</v>
      </c>
    </row>
    <row r="20" spans="1:17" x14ac:dyDescent="0.3">
      <c r="A20" s="2">
        <v>4.6269841269841274</v>
      </c>
      <c r="E20" s="5" t="s">
        <v>55</v>
      </c>
      <c r="F20" s="14">
        <v>12</v>
      </c>
      <c r="L20" s="5" t="s">
        <v>56</v>
      </c>
      <c r="M20" s="2">
        <v>37.46153846153846</v>
      </c>
      <c r="P20" s="5" t="s">
        <v>59</v>
      </c>
      <c r="Q20" s="2">
        <v>2.5</v>
      </c>
    </row>
    <row r="21" spans="1:17" x14ac:dyDescent="0.3">
      <c r="E21" s="5" t="s">
        <v>56</v>
      </c>
      <c r="F21" s="14">
        <v>13</v>
      </c>
      <c r="L21" s="5" t="s">
        <v>57</v>
      </c>
      <c r="M21" s="2">
        <v>39.25</v>
      </c>
      <c r="P21" s="5" t="s">
        <v>60</v>
      </c>
      <c r="Q21" s="2">
        <v>6</v>
      </c>
    </row>
    <row r="22" spans="1:17" x14ac:dyDescent="0.3">
      <c r="E22" s="5" t="s">
        <v>57</v>
      </c>
      <c r="F22" s="14">
        <v>20</v>
      </c>
      <c r="L22" s="5" t="s">
        <v>58</v>
      </c>
      <c r="M22" s="2">
        <v>33.647058823529413</v>
      </c>
      <c r="P22" s="5" t="s">
        <v>61</v>
      </c>
      <c r="Q22" s="2">
        <v>3.8</v>
      </c>
    </row>
    <row r="23" spans="1:17" x14ac:dyDescent="0.3">
      <c r="E23" s="5" t="s">
        <v>58</v>
      </c>
      <c r="F23" s="14">
        <v>17</v>
      </c>
      <c r="L23" s="5" t="s">
        <v>59</v>
      </c>
      <c r="M23" s="2">
        <v>42.2</v>
      </c>
      <c r="P23" s="5" t="s">
        <v>62</v>
      </c>
      <c r="Q23" s="2">
        <v>3.6</v>
      </c>
    </row>
    <row r="24" spans="1:17" x14ac:dyDescent="0.3">
      <c r="E24" s="5" t="s">
        <v>59</v>
      </c>
      <c r="F24" s="14">
        <v>10</v>
      </c>
      <c r="L24" s="5" t="s">
        <v>60</v>
      </c>
      <c r="M24" s="2">
        <v>33.3125</v>
      </c>
      <c r="P24" s="5" t="s">
        <v>64</v>
      </c>
      <c r="Q24" s="2">
        <v>5.8571428571428568</v>
      </c>
    </row>
    <row r="25" spans="1:17" x14ac:dyDescent="0.3">
      <c r="E25" s="5" t="s">
        <v>60</v>
      </c>
      <c r="F25" s="14">
        <v>16</v>
      </c>
      <c r="L25" s="5" t="s">
        <v>61</v>
      </c>
      <c r="M25" s="2">
        <v>25.76923076923077</v>
      </c>
      <c r="P25" s="5" t="s">
        <v>65</v>
      </c>
      <c r="Q25" s="2">
        <v>6.25</v>
      </c>
    </row>
    <row r="26" spans="1:17" x14ac:dyDescent="0.3">
      <c r="E26" s="5" t="s">
        <v>61</v>
      </c>
      <c r="F26" s="14">
        <v>13</v>
      </c>
      <c r="L26" s="5" t="s">
        <v>62</v>
      </c>
      <c r="M26" s="2">
        <v>37.125</v>
      </c>
      <c r="P26" s="5" t="s">
        <v>66</v>
      </c>
      <c r="Q26" s="2">
        <v>4.666666666666667</v>
      </c>
    </row>
    <row r="27" spans="1:17" x14ac:dyDescent="0.3">
      <c r="E27" s="5" t="s">
        <v>62</v>
      </c>
      <c r="F27" s="14">
        <v>16</v>
      </c>
      <c r="L27" s="5" t="s">
        <v>63</v>
      </c>
      <c r="M27" s="2">
        <v>37</v>
      </c>
      <c r="P27" s="5" t="s">
        <v>67</v>
      </c>
      <c r="Q27" s="2">
        <v>0</v>
      </c>
    </row>
    <row r="28" spans="1:17" x14ac:dyDescent="0.3">
      <c r="E28" s="5" t="s">
        <v>63</v>
      </c>
      <c r="F28" s="14">
        <v>18</v>
      </c>
      <c r="L28" s="5" t="s">
        <v>64</v>
      </c>
      <c r="M28" s="2">
        <v>36.80952380952381</v>
      </c>
      <c r="P28" s="5" t="s">
        <v>68</v>
      </c>
      <c r="Q28" s="2">
        <v>4.666666666666667</v>
      </c>
    </row>
    <row r="29" spans="1:17" x14ac:dyDescent="0.3">
      <c r="E29" s="5" t="s">
        <v>64</v>
      </c>
      <c r="F29" s="14">
        <v>21</v>
      </c>
      <c r="L29" s="5" t="s">
        <v>65</v>
      </c>
      <c r="M29" s="2">
        <v>39.799999999999997</v>
      </c>
      <c r="P29" s="5" t="s">
        <v>69</v>
      </c>
      <c r="Q29" s="2">
        <v>2.8</v>
      </c>
    </row>
    <row r="30" spans="1:17" x14ac:dyDescent="0.3">
      <c r="E30" s="5" t="s">
        <v>65</v>
      </c>
      <c r="F30" s="14">
        <v>15</v>
      </c>
      <c r="L30" s="5" t="s">
        <v>66</v>
      </c>
      <c r="M30" s="2">
        <v>38</v>
      </c>
      <c r="P30" s="5" t="s">
        <v>70</v>
      </c>
      <c r="Q30" s="2">
        <v>4.2</v>
      </c>
    </row>
    <row r="31" spans="1:17" x14ac:dyDescent="0.3">
      <c r="E31" s="5" t="s">
        <v>66</v>
      </c>
      <c r="F31" s="14">
        <v>18</v>
      </c>
      <c r="L31" s="5" t="s">
        <v>67</v>
      </c>
      <c r="M31" s="2">
        <v>36.133333333333333</v>
      </c>
      <c r="P31" s="5" t="s">
        <v>71</v>
      </c>
      <c r="Q31" s="2">
        <v>2.5</v>
      </c>
    </row>
    <row r="32" spans="1:17" x14ac:dyDescent="0.3">
      <c r="E32" s="5" t="s">
        <v>67</v>
      </c>
      <c r="F32" s="14">
        <v>15</v>
      </c>
      <c r="L32" s="5" t="s">
        <v>68</v>
      </c>
      <c r="M32" s="2">
        <v>36.555555555555557</v>
      </c>
      <c r="P32" s="5" t="s">
        <v>72</v>
      </c>
      <c r="Q32" s="2">
        <v>5</v>
      </c>
    </row>
    <row r="33" spans="1:17" x14ac:dyDescent="0.3">
      <c r="E33" s="5" t="s">
        <v>68</v>
      </c>
      <c r="F33" s="14">
        <v>18</v>
      </c>
      <c r="L33" s="5" t="s">
        <v>69</v>
      </c>
      <c r="M33" s="2">
        <v>39.210526315789473</v>
      </c>
      <c r="P33" s="5" t="s">
        <v>4</v>
      </c>
      <c r="Q33" s="2">
        <v>4.6269841269841274</v>
      </c>
    </row>
    <row r="34" spans="1:17" x14ac:dyDescent="0.3">
      <c r="E34" s="5" t="s">
        <v>69</v>
      </c>
      <c r="F34" s="14">
        <v>19</v>
      </c>
      <c r="L34" s="5" t="s">
        <v>70</v>
      </c>
      <c r="M34" s="2">
        <v>31.1875</v>
      </c>
    </row>
    <row r="35" spans="1:17" x14ac:dyDescent="0.3">
      <c r="E35" s="5" t="s">
        <v>70</v>
      </c>
      <c r="F35" s="14">
        <v>16</v>
      </c>
      <c r="L35" s="5" t="s">
        <v>71</v>
      </c>
      <c r="M35" s="2">
        <v>35.153846153846153</v>
      </c>
    </row>
    <row r="36" spans="1:17" x14ac:dyDescent="0.3">
      <c r="E36" s="5" t="s">
        <v>71</v>
      </c>
      <c r="F36" s="14">
        <v>13</v>
      </c>
      <c r="L36" s="5" t="s">
        <v>72</v>
      </c>
      <c r="M36" s="2">
        <v>34.25</v>
      </c>
    </row>
    <row r="37" spans="1:17" x14ac:dyDescent="0.3">
      <c r="E37" s="5" t="s">
        <v>72</v>
      </c>
      <c r="F37" s="14">
        <v>16</v>
      </c>
      <c r="L37" s="5" t="s">
        <v>4</v>
      </c>
      <c r="M37" s="2">
        <v>35.044776119402982</v>
      </c>
    </row>
    <row r="38" spans="1:17" x14ac:dyDescent="0.3">
      <c r="E38" s="5" t="s">
        <v>4</v>
      </c>
      <c r="F38" s="14">
        <v>469</v>
      </c>
    </row>
    <row r="42" spans="1:17" x14ac:dyDescent="0.3">
      <c r="A42" s="1" t="s">
        <v>5</v>
      </c>
      <c r="B42" t="s">
        <v>12</v>
      </c>
      <c r="C42" t="s">
        <v>13</v>
      </c>
    </row>
    <row r="43" spans="1:17" x14ac:dyDescent="0.3">
      <c r="A43" s="5" t="s">
        <v>10</v>
      </c>
      <c r="B43" s="2">
        <v>217</v>
      </c>
      <c r="C43" s="9">
        <v>0.46268656716417911</v>
      </c>
    </row>
    <row r="44" spans="1:17" x14ac:dyDescent="0.3">
      <c r="A44" s="5" t="s">
        <v>11</v>
      </c>
      <c r="B44" s="2">
        <v>252</v>
      </c>
      <c r="C44" s="9">
        <v>0.53731343283582089</v>
      </c>
    </row>
    <row r="45" spans="1:17" x14ac:dyDescent="0.3">
      <c r="A45" s="5" t="s">
        <v>4</v>
      </c>
      <c r="B45" s="2">
        <v>469</v>
      </c>
      <c r="C45" s="9">
        <v>1</v>
      </c>
    </row>
    <row r="49" spans="1:7" x14ac:dyDescent="0.3">
      <c r="A49" s="11" t="s">
        <v>14</v>
      </c>
      <c r="B49" s="11" t="s">
        <v>15</v>
      </c>
      <c r="C49" s="11" t="s">
        <v>16</v>
      </c>
      <c r="D49" s="11"/>
      <c r="E49" s="10"/>
    </row>
    <row r="50" spans="1:7" x14ac:dyDescent="0.3">
      <c r="A50" s="12" t="str">
        <f>A44</f>
        <v>Not Admitted</v>
      </c>
      <c r="B50" s="12">
        <f>B44</f>
        <v>252</v>
      </c>
      <c r="C50" s="12">
        <f>C44</f>
        <v>0.53731343283582089</v>
      </c>
      <c r="D50" s="12"/>
      <c r="E50" s="10"/>
    </row>
    <row r="51" spans="1:7" x14ac:dyDescent="0.3">
      <c r="A51" s="12" t="str">
        <f>A43</f>
        <v>Admitted</v>
      </c>
      <c r="B51" s="12">
        <f>B43</f>
        <v>217</v>
      </c>
      <c r="C51" s="12">
        <f>C43</f>
        <v>0.46268656716417911</v>
      </c>
      <c r="D51" s="12"/>
      <c r="E51" s="10"/>
    </row>
    <row r="55" spans="1:7" x14ac:dyDescent="0.3">
      <c r="A55" s="1" t="s">
        <v>5</v>
      </c>
      <c r="B55" t="s">
        <v>25</v>
      </c>
    </row>
    <row r="56" spans="1:7" x14ac:dyDescent="0.3">
      <c r="A56" s="5" t="s">
        <v>17</v>
      </c>
      <c r="B56" s="13">
        <v>59</v>
      </c>
      <c r="F56" s="1" t="s">
        <v>5</v>
      </c>
      <c r="G56" t="s">
        <v>9</v>
      </c>
    </row>
    <row r="57" spans="1:7" x14ac:dyDescent="0.3">
      <c r="A57" s="5" t="s">
        <v>18</v>
      </c>
      <c r="B57" s="13">
        <v>57</v>
      </c>
      <c r="F57" s="5" t="s">
        <v>28</v>
      </c>
      <c r="G57" s="2">
        <v>268</v>
      </c>
    </row>
    <row r="58" spans="1:7" x14ac:dyDescent="0.3">
      <c r="A58" s="5" t="s">
        <v>19</v>
      </c>
      <c r="B58" s="13">
        <v>69</v>
      </c>
      <c r="F58" s="5" t="s">
        <v>27</v>
      </c>
      <c r="G58" s="2">
        <v>201</v>
      </c>
    </row>
    <row r="59" spans="1:7" x14ac:dyDescent="0.3">
      <c r="A59" s="5" t="s">
        <v>20</v>
      </c>
      <c r="B59" s="13">
        <v>62</v>
      </c>
      <c r="F59" s="5" t="s">
        <v>4</v>
      </c>
      <c r="G59" s="2">
        <v>469</v>
      </c>
    </row>
    <row r="60" spans="1:7" x14ac:dyDescent="0.3">
      <c r="A60" s="5" t="s">
        <v>21</v>
      </c>
      <c r="B60" s="13">
        <v>54</v>
      </c>
    </row>
    <row r="61" spans="1:7" x14ac:dyDescent="0.3">
      <c r="A61" s="5" t="s">
        <v>22</v>
      </c>
      <c r="B61" s="13">
        <v>57</v>
      </c>
    </row>
    <row r="62" spans="1:7" x14ac:dyDescent="0.3">
      <c r="A62" s="5" t="s">
        <v>23</v>
      </c>
      <c r="B62" s="13">
        <v>54</v>
      </c>
    </row>
    <row r="63" spans="1:7" x14ac:dyDescent="0.3">
      <c r="A63" s="5" t="s">
        <v>24</v>
      </c>
      <c r="B63" s="13">
        <v>57</v>
      </c>
    </row>
    <row r="64" spans="1:7" x14ac:dyDescent="0.3">
      <c r="A64" s="5" t="s">
        <v>4</v>
      </c>
      <c r="B64" s="2">
        <v>469</v>
      </c>
      <c r="E64" s="8"/>
      <c r="F64" s="8"/>
    </row>
    <row r="70" spans="1:2" x14ac:dyDescent="0.3">
      <c r="A70" s="1" t="s">
        <v>5</v>
      </c>
      <c r="B70" t="s">
        <v>29</v>
      </c>
    </row>
    <row r="71" spans="1:2" x14ac:dyDescent="0.3">
      <c r="A71" s="5" t="s">
        <v>30</v>
      </c>
      <c r="B71" s="2">
        <v>241</v>
      </c>
    </row>
    <row r="72" spans="1:2" x14ac:dyDescent="0.3">
      <c r="A72" s="5" t="s">
        <v>31</v>
      </c>
      <c r="B72" s="2">
        <v>226</v>
      </c>
    </row>
    <row r="73" spans="1:2" x14ac:dyDescent="0.3">
      <c r="A73" s="5" t="s">
        <v>42</v>
      </c>
      <c r="B73" s="2">
        <v>2</v>
      </c>
    </row>
    <row r="74" spans="1:2" x14ac:dyDescent="0.3">
      <c r="A74" s="5" t="s">
        <v>4</v>
      </c>
      <c r="B74" s="2">
        <v>469</v>
      </c>
    </row>
    <row r="77" spans="1:2" x14ac:dyDescent="0.3">
      <c r="A77" s="1" t="s">
        <v>5</v>
      </c>
      <c r="B77" t="s">
        <v>40</v>
      </c>
    </row>
    <row r="78" spans="1:2" x14ac:dyDescent="0.3">
      <c r="A78" s="5" t="s">
        <v>39</v>
      </c>
      <c r="B78" s="13">
        <v>3</v>
      </c>
    </row>
    <row r="79" spans="1:2" x14ac:dyDescent="0.3">
      <c r="A79" s="5" t="s">
        <v>33</v>
      </c>
      <c r="B79" s="13">
        <v>8</v>
      </c>
    </row>
    <row r="80" spans="1:2" x14ac:dyDescent="0.3">
      <c r="A80" s="5" t="s">
        <v>35</v>
      </c>
      <c r="B80" s="13">
        <v>10</v>
      </c>
    </row>
    <row r="81" spans="1:2" x14ac:dyDescent="0.3">
      <c r="A81" s="5" t="s">
        <v>32</v>
      </c>
      <c r="B81" s="13">
        <v>13</v>
      </c>
    </row>
    <row r="82" spans="1:2" x14ac:dyDescent="0.3">
      <c r="A82" s="5" t="s">
        <v>38</v>
      </c>
      <c r="B82" s="13">
        <v>15</v>
      </c>
    </row>
    <row r="83" spans="1:2" x14ac:dyDescent="0.3">
      <c r="A83" s="5" t="s">
        <v>37</v>
      </c>
      <c r="B83" s="13">
        <v>44</v>
      </c>
    </row>
    <row r="84" spans="1:2" x14ac:dyDescent="0.3">
      <c r="A84" s="5" t="s">
        <v>34</v>
      </c>
      <c r="B84" s="13">
        <v>92</v>
      </c>
    </row>
    <row r="85" spans="1:2" x14ac:dyDescent="0.3">
      <c r="A85" s="5" t="s">
        <v>36</v>
      </c>
      <c r="B85" s="13">
        <v>284</v>
      </c>
    </row>
    <row r="86" spans="1:2" x14ac:dyDescent="0.3">
      <c r="A86" s="5" t="s">
        <v>4</v>
      </c>
      <c r="B86" s="2">
        <v>469</v>
      </c>
    </row>
    <row r="93" spans="1:2" x14ac:dyDescent="0.3">
      <c r="A93" s="1" t="s">
        <v>5</v>
      </c>
    </row>
    <row r="94" spans="1:2" x14ac:dyDescent="0.3">
      <c r="A94" s="5" t="s">
        <v>41</v>
      </c>
    </row>
    <row r="95" spans="1:2" x14ac:dyDescent="0.3">
      <c r="A95"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DA41-FF3A-40D1-869A-2EB46E43D4C0}">
  <dimension ref="A1:N17"/>
  <sheetViews>
    <sheetView tabSelected="1" zoomScale="146" zoomScaleNormal="175" workbookViewId="0">
      <selection activeCell="H6" sqref="H6"/>
    </sheetView>
  </sheetViews>
  <sheetFormatPr defaultRowHeight="14.4" x14ac:dyDescent="0.3"/>
  <cols>
    <col min="14" max="14" width="8.88671875" style="4"/>
  </cols>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6"/>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t="s">
        <v>26</v>
      </c>
      <c r="F16" s="3"/>
      <c r="G16" s="3"/>
      <c r="H16" s="3"/>
      <c r="I16" s="3"/>
      <c r="J16" s="3"/>
      <c r="K16" s="3"/>
      <c r="L16" s="3"/>
      <c r="M16" s="3"/>
      <c r="N16" s="3"/>
    </row>
    <row r="17" spans="1:14" x14ac:dyDescent="0.3">
      <c r="A17" s="3"/>
      <c r="B17" s="3"/>
      <c r="C17" s="3"/>
      <c r="D17" s="3"/>
      <c r="E17" s="3"/>
      <c r="F17" s="3"/>
      <c r="G17" s="3"/>
      <c r="H17" s="3"/>
      <c r="I17" s="3"/>
      <c r="J17" s="3"/>
      <c r="K17" s="3"/>
      <c r="L17" s="3"/>
      <c r="M17" s="3"/>
      <c r="N17"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43FA-8CF0-4902-BAA8-F4C2B656FF26}">
  <dimension ref="A1:L15"/>
  <sheetViews>
    <sheetView zoomScale="160" zoomScaleNormal="160" workbookViewId="0"/>
  </sheetViews>
  <sheetFormatPr defaultRowHeight="14.4" x14ac:dyDescent="0.3"/>
  <sheetData>
    <row r="1" spans="1:12" x14ac:dyDescent="0.3">
      <c r="A1" s="7"/>
      <c r="B1" s="7"/>
      <c r="C1" s="7"/>
      <c r="D1" s="7"/>
      <c r="E1" s="7"/>
      <c r="F1" s="7"/>
      <c r="G1" s="7"/>
      <c r="H1" s="7"/>
      <c r="I1" s="7"/>
      <c r="J1" s="7"/>
      <c r="K1" s="7"/>
      <c r="L1" s="7"/>
    </row>
    <row r="2" spans="1:12" x14ac:dyDescent="0.3">
      <c r="A2" s="7"/>
      <c r="B2" s="7"/>
      <c r="C2" s="7"/>
      <c r="D2" s="7"/>
      <c r="E2" s="7"/>
      <c r="F2" s="7"/>
      <c r="G2" s="7"/>
      <c r="H2" s="7"/>
      <c r="I2" s="7"/>
      <c r="J2" s="7"/>
      <c r="K2" s="7"/>
      <c r="L2" s="7"/>
    </row>
    <row r="3" spans="1:12" x14ac:dyDescent="0.3">
      <c r="A3" s="7"/>
      <c r="B3" s="7"/>
      <c r="C3" s="7"/>
      <c r="D3" s="7"/>
      <c r="E3" s="7"/>
      <c r="F3" s="7"/>
      <c r="G3" s="7"/>
      <c r="H3" s="7"/>
      <c r="I3" s="7"/>
      <c r="J3" s="7"/>
      <c r="K3" s="7"/>
      <c r="L3" s="7"/>
    </row>
    <row r="4" spans="1:12" x14ac:dyDescent="0.3">
      <c r="A4" s="7"/>
      <c r="B4" s="7"/>
      <c r="C4" s="7"/>
      <c r="D4" s="7"/>
      <c r="E4" s="7"/>
      <c r="F4" s="7"/>
      <c r="G4" s="7"/>
      <c r="H4" s="7"/>
      <c r="I4" s="7"/>
      <c r="J4" s="7"/>
      <c r="K4" s="7"/>
      <c r="L4" s="7"/>
    </row>
    <row r="5" spans="1:12" x14ac:dyDescent="0.3">
      <c r="A5" s="7"/>
      <c r="B5" s="7"/>
      <c r="C5" s="7"/>
      <c r="D5" s="7"/>
      <c r="E5" s="7"/>
      <c r="F5" s="7"/>
      <c r="G5" s="7"/>
      <c r="H5" s="7"/>
      <c r="I5" s="7"/>
      <c r="J5" s="7"/>
      <c r="K5" s="7"/>
      <c r="L5" s="7"/>
    </row>
    <row r="6" spans="1:12" x14ac:dyDescent="0.3">
      <c r="A6" s="7"/>
      <c r="B6" s="7"/>
      <c r="C6" s="7"/>
      <c r="D6" s="7"/>
      <c r="E6" s="7"/>
      <c r="F6" s="7"/>
      <c r="G6" s="7"/>
      <c r="H6" s="7"/>
      <c r="I6" s="7"/>
      <c r="J6" s="7"/>
      <c r="K6" s="7"/>
      <c r="L6" s="7"/>
    </row>
    <row r="7" spans="1:12" x14ac:dyDescent="0.3">
      <c r="A7" s="7"/>
      <c r="B7" s="7"/>
      <c r="C7" s="7"/>
      <c r="D7" s="7"/>
      <c r="E7" s="7"/>
      <c r="F7" s="7"/>
      <c r="G7" s="7"/>
      <c r="H7" s="7"/>
      <c r="I7" s="7"/>
      <c r="J7" s="7"/>
      <c r="K7" s="7"/>
      <c r="L7" s="7"/>
    </row>
    <row r="8" spans="1:12" x14ac:dyDescent="0.3">
      <c r="A8" s="7"/>
      <c r="B8" s="7"/>
      <c r="C8" s="7"/>
      <c r="D8" s="7"/>
      <c r="E8" s="7"/>
      <c r="F8" s="7"/>
      <c r="G8" s="7"/>
      <c r="H8" s="7"/>
      <c r="I8" s="7"/>
      <c r="J8" s="7"/>
      <c r="K8" s="7"/>
      <c r="L8" s="7"/>
    </row>
    <row r="9" spans="1:12" x14ac:dyDescent="0.3">
      <c r="A9" s="7"/>
      <c r="B9" s="7"/>
      <c r="C9" s="7"/>
      <c r="D9" s="7"/>
      <c r="E9" s="7"/>
      <c r="F9" s="7"/>
      <c r="G9" s="7"/>
      <c r="H9" s="7"/>
      <c r="I9" s="7"/>
      <c r="J9" s="7"/>
      <c r="K9" s="7"/>
      <c r="L9" s="7"/>
    </row>
    <row r="10" spans="1:12" x14ac:dyDescent="0.3">
      <c r="A10" s="7"/>
      <c r="B10" s="7"/>
      <c r="C10" s="7"/>
      <c r="D10" s="7"/>
      <c r="E10" s="7"/>
      <c r="F10" s="7"/>
      <c r="G10" s="7"/>
      <c r="H10" s="7"/>
      <c r="I10" s="7"/>
      <c r="J10" s="7"/>
      <c r="K10" s="7"/>
      <c r="L10" s="7"/>
    </row>
    <row r="11" spans="1:12" x14ac:dyDescent="0.3">
      <c r="A11" s="7"/>
      <c r="B11" s="7"/>
      <c r="C11" s="7"/>
      <c r="D11" s="7"/>
      <c r="E11" s="7"/>
      <c r="F11" s="7"/>
      <c r="G11" s="7"/>
      <c r="H11" s="7"/>
      <c r="I11" s="7"/>
      <c r="J11" s="7"/>
      <c r="K11" s="7"/>
      <c r="L11" s="7"/>
    </row>
    <row r="12" spans="1:12" x14ac:dyDescent="0.3">
      <c r="A12" s="7"/>
      <c r="B12" s="7"/>
      <c r="C12" s="7"/>
      <c r="D12" s="7"/>
      <c r="E12" s="7"/>
      <c r="F12" s="7"/>
      <c r="G12" s="7"/>
      <c r="H12" s="7"/>
      <c r="I12" s="7"/>
      <c r="J12" s="7"/>
      <c r="K12" s="7"/>
      <c r="L12" s="7"/>
    </row>
    <row r="13" spans="1:12" x14ac:dyDescent="0.3">
      <c r="A13" s="7"/>
      <c r="B13" s="7"/>
      <c r="C13" s="7"/>
      <c r="D13" s="7"/>
      <c r="E13" s="7"/>
      <c r="F13" s="7"/>
      <c r="G13" s="7"/>
      <c r="H13" s="7"/>
      <c r="I13" s="7"/>
      <c r="J13" s="7"/>
      <c r="K13" s="7"/>
      <c r="L13" s="7"/>
    </row>
    <row r="14" spans="1:12" x14ac:dyDescent="0.3">
      <c r="A14" s="7"/>
      <c r="B14" s="7" t="s">
        <v>6</v>
      </c>
      <c r="C14" s="7"/>
      <c r="D14" s="7"/>
      <c r="E14" s="7"/>
      <c r="F14" s="7"/>
      <c r="G14" s="7"/>
      <c r="H14" s="7"/>
      <c r="I14" s="7"/>
      <c r="J14" s="7"/>
      <c r="K14" s="7"/>
      <c r="L14" s="7"/>
    </row>
    <row r="15" spans="1:12" x14ac:dyDescent="0.3">
      <c r="A15" s="7"/>
      <c r="B15" s="7"/>
      <c r="C15" s="7"/>
      <c r="D15" s="7"/>
      <c r="E15" s="7"/>
      <c r="F15" s="7"/>
      <c r="G15" s="7"/>
      <c r="H15" s="7"/>
      <c r="I15" s="7"/>
      <c r="J15" s="7"/>
      <c r="K15" s="7"/>
      <c r="L15"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69C7B-1E94-4CF9-8D5F-1605433D0E97}">
  <dimension ref="A1:P23"/>
  <sheetViews>
    <sheetView zoomScale="125" zoomScaleNormal="160" workbookViewId="0"/>
  </sheetViews>
  <sheetFormatPr defaultRowHeight="14.4" x14ac:dyDescent="0.3"/>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row r="7" spans="1:16" x14ac:dyDescent="0.3">
      <c r="A7" s="7"/>
      <c r="B7" s="7"/>
      <c r="C7" s="7"/>
      <c r="D7" s="7"/>
      <c r="E7" s="7"/>
      <c r="F7" s="7"/>
      <c r="G7" s="7"/>
      <c r="H7" s="7"/>
      <c r="I7" s="7"/>
      <c r="J7" s="7"/>
      <c r="K7" s="7"/>
      <c r="L7" s="7"/>
      <c r="M7" s="7"/>
      <c r="N7" s="7"/>
      <c r="O7" s="7"/>
      <c r="P7" s="7"/>
    </row>
    <row r="8" spans="1:16" x14ac:dyDescent="0.3">
      <c r="A8" s="7"/>
      <c r="B8" s="7"/>
      <c r="C8" s="7"/>
      <c r="D8" s="7"/>
      <c r="E8" s="7"/>
      <c r="F8" s="7"/>
      <c r="G8" s="7"/>
      <c r="H8" s="7"/>
      <c r="I8" s="7"/>
      <c r="J8" s="7"/>
      <c r="K8" s="7"/>
      <c r="L8" s="7"/>
      <c r="M8" s="7"/>
      <c r="N8" s="7"/>
      <c r="O8" s="7"/>
      <c r="P8" s="7"/>
    </row>
    <row r="9" spans="1:16" x14ac:dyDescent="0.3">
      <c r="A9" s="7"/>
      <c r="B9" s="7"/>
      <c r="C9" s="7"/>
      <c r="D9" s="7"/>
      <c r="E9" s="7"/>
      <c r="F9" s="7"/>
      <c r="G9" s="7"/>
      <c r="H9" s="7"/>
      <c r="I9" s="7"/>
      <c r="J9" s="7"/>
      <c r="K9" s="7"/>
      <c r="L9" s="7"/>
      <c r="M9" s="7"/>
      <c r="N9" s="7"/>
      <c r="O9" s="7"/>
      <c r="P9" s="7"/>
    </row>
    <row r="10" spans="1:16" x14ac:dyDescent="0.3">
      <c r="A10" s="7"/>
      <c r="B10" s="7"/>
      <c r="C10" s="7"/>
      <c r="D10" s="7"/>
      <c r="E10" s="7"/>
      <c r="F10" s="7"/>
      <c r="G10" s="7"/>
      <c r="H10" s="7"/>
      <c r="I10" s="7"/>
      <c r="J10" s="7"/>
      <c r="K10" s="7"/>
      <c r="L10" s="7"/>
      <c r="M10" s="7"/>
      <c r="N10" s="7"/>
      <c r="O10" s="7"/>
      <c r="P10" s="7"/>
    </row>
    <row r="11" spans="1:16" x14ac:dyDescent="0.3">
      <c r="A11" s="7"/>
      <c r="B11" s="7"/>
      <c r="C11" s="7"/>
      <c r="D11" s="7"/>
      <c r="E11" s="7"/>
      <c r="F11" s="7"/>
      <c r="G11" s="7"/>
      <c r="H11" s="7"/>
      <c r="I11" s="7"/>
      <c r="J11" s="7"/>
      <c r="K11" s="7"/>
      <c r="L11" s="7"/>
      <c r="M11" s="7"/>
      <c r="N11" s="7"/>
      <c r="O11" s="7"/>
      <c r="P11" s="7"/>
    </row>
    <row r="12" spans="1:16" x14ac:dyDescent="0.3">
      <c r="A12" s="7"/>
      <c r="B12" s="7"/>
      <c r="C12" s="7"/>
      <c r="D12" s="7"/>
      <c r="E12" s="7"/>
      <c r="F12" s="7"/>
      <c r="G12" s="7"/>
      <c r="H12" s="7"/>
      <c r="I12" s="7"/>
      <c r="J12" s="7"/>
      <c r="K12" s="7"/>
      <c r="L12" s="7"/>
      <c r="M12" s="7"/>
      <c r="N12" s="7"/>
      <c r="O12" s="7"/>
      <c r="P12" s="7"/>
    </row>
    <row r="13" spans="1:16" x14ac:dyDescent="0.3">
      <c r="A13" s="7"/>
      <c r="B13" s="7"/>
      <c r="C13" s="7"/>
      <c r="D13" s="7"/>
      <c r="E13" s="7"/>
      <c r="F13" s="7"/>
      <c r="G13" s="7"/>
      <c r="H13" s="7"/>
      <c r="I13" s="7"/>
      <c r="J13" s="7"/>
      <c r="K13" s="7"/>
      <c r="L13" s="7"/>
      <c r="M13" s="7"/>
      <c r="N13" s="7"/>
      <c r="O13" s="7"/>
      <c r="P13" s="7"/>
    </row>
    <row r="14" spans="1:16" x14ac:dyDescent="0.3">
      <c r="A14" s="7"/>
      <c r="B14" s="7"/>
      <c r="C14" s="7"/>
      <c r="D14" s="7"/>
      <c r="E14" s="7"/>
      <c r="F14" s="7"/>
      <c r="G14" s="7"/>
      <c r="H14" s="7"/>
      <c r="I14" s="7"/>
      <c r="J14" s="7"/>
      <c r="K14" s="7"/>
      <c r="L14" s="7"/>
      <c r="M14" s="7"/>
      <c r="N14" s="7"/>
      <c r="O14" s="7"/>
      <c r="P14" s="7"/>
    </row>
    <row r="15" spans="1:16" x14ac:dyDescent="0.3">
      <c r="A15" s="7"/>
      <c r="B15" s="7"/>
      <c r="C15" s="7"/>
      <c r="D15" s="7"/>
      <c r="E15" s="7"/>
      <c r="F15" s="7"/>
      <c r="G15" s="7"/>
      <c r="H15" s="7"/>
      <c r="I15" s="7"/>
      <c r="J15" s="7"/>
      <c r="K15" s="7"/>
      <c r="L15" s="7"/>
      <c r="M15" s="7"/>
      <c r="N15" s="7"/>
      <c r="O15" s="7"/>
      <c r="P15" s="7"/>
    </row>
    <row r="16" spans="1:16" x14ac:dyDescent="0.3">
      <c r="A16" s="7"/>
      <c r="B16" s="7"/>
      <c r="C16" s="7"/>
      <c r="D16" s="7"/>
      <c r="E16" s="7"/>
      <c r="F16" s="7"/>
      <c r="G16" s="7"/>
      <c r="H16" s="7"/>
      <c r="I16" s="7"/>
      <c r="J16" s="7"/>
      <c r="K16" s="7"/>
      <c r="L16" s="7"/>
      <c r="M16" s="7"/>
      <c r="N16" s="7"/>
      <c r="O16" s="7"/>
      <c r="P16" s="7"/>
    </row>
    <row r="17" spans="1:16" x14ac:dyDescent="0.3">
      <c r="A17" s="7"/>
      <c r="B17" s="7"/>
      <c r="C17" s="7"/>
      <c r="D17" s="7"/>
      <c r="E17" s="7"/>
      <c r="F17" s="7"/>
      <c r="G17" s="7"/>
      <c r="H17" s="7"/>
      <c r="I17" s="7"/>
      <c r="J17" s="7"/>
      <c r="K17" s="7"/>
      <c r="L17" s="7"/>
      <c r="M17" s="7"/>
      <c r="N17" s="7"/>
      <c r="O17" s="7"/>
      <c r="P17" s="7"/>
    </row>
    <row r="18" spans="1:16" x14ac:dyDescent="0.3">
      <c r="A18" s="7"/>
      <c r="B18" s="7"/>
      <c r="C18" s="7"/>
      <c r="D18" s="7"/>
      <c r="E18" s="7"/>
      <c r="F18" s="7"/>
      <c r="G18" s="7"/>
      <c r="H18" s="7"/>
      <c r="I18" s="7"/>
      <c r="J18" s="7"/>
      <c r="K18" s="7"/>
      <c r="L18" s="7"/>
      <c r="M18" s="7"/>
      <c r="N18" s="7"/>
      <c r="O18" s="7"/>
      <c r="P18" s="7"/>
    </row>
    <row r="19" spans="1:16" x14ac:dyDescent="0.3">
      <c r="A19" s="7"/>
      <c r="B19" s="7"/>
      <c r="C19" s="7"/>
      <c r="D19" s="7"/>
      <c r="E19" s="7"/>
      <c r="F19" s="7"/>
      <c r="G19" s="7"/>
      <c r="H19" s="7"/>
      <c r="I19" s="7"/>
      <c r="J19" s="7"/>
      <c r="K19" s="7"/>
      <c r="L19" s="7"/>
      <c r="M19" s="7"/>
      <c r="N19" s="7"/>
      <c r="O19" s="7"/>
      <c r="P19" s="7"/>
    </row>
    <row r="20" spans="1:16" x14ac:dyDescent="0.3">
      <c r="A20" s="7"/>
      <c r="B20" s="7"/>
      <c r="C20" s="7"/>
      <c r="D20" s="7"/>
      <c r="E20" s="7"/>
      <c r="F20" s="7"/>
      <c r="G20" s="7"/>
      <c r="H20" s="7"/>
      <c r="I20" s="7"/>
      <c r="J20" s="7"/>
      <c r="K20" s="7"/>
      <c r="L20" s="7"/>
      <c r="M20" s="7"/>
      <c r="N20" s="7"/>
      <c r="O20" s="7"/>
      <c r="P20" s="7"/>
    </row>
    <row r="21" spans="1:16" x14ac:dyDescent="0.3">
      <c r="A21" s="7"/>
      <c r="B21" s="7"/>
      <c r="C21" s="7"/>
      <c r="D21" s="7"/>
      <c r="E21" s="7"/>
      <c r="F21" s="7"/>
      <c r="G21" s="7"/>
      <c r="H21" s="7"/>
      <c r="I21" s="7"/>
      <c r="J21" s="7"/>
      <c r="K21" s="7"/>
      <c r="L21" s="7"/>
      <c r="M21" s="7"/>
      <c r="N21" s="7"/>
      <c r="O21" s="7"/>
      <c r="P21" s="7"/>
    </row>
    <row r="22" spans="1:16" x14ac:dyDescent="0.3">
      <c r="A22" s="7"/>
      <c r="B22" s="7" t="s">
        <v>7</v>
      </c>
      <c r="C22" s="7"/>
      <c r="D22" s="7"/>
      <c r="E22" s="7"/>
      <c r="F22" s="7"/>
      <c r="G22" s="7"/>
      <c r="H22" s="7"/>
      <c r="I22" s="7"/>
      <c r="J22" s="7"/>
      <c r="K22" s="7"/>
      <c r="L22" s="7"/>
      <c r="M22" s="7"/>
      <c r="N22" s="7"/>
      <c r="O22" s="7"/>
      <c r="P22" s="7"/>
    </row>
    <row r="23" spans="1:16" x14ac:dyDescent="0.3">
      <c r="A23" s="7"/>
      <c r="B23" s="7"/>
      <c r="C23" s="7"/>
      <c r="D23" s="7"/>
      <c r="E23" s="7"/>
      <c r="F23" s="7"/>
      <c r="G23" s="7"/>
      <c r="H23" s="7"/>
      <c r="I23" s="7"/>
      <c r="J23" s="7"/>
      <c r="K23" s="7"/>
      <c r="L23" s="7"/>
      <c r="M23" s="7"/>
      <c r="N23" s="7"/>
      <c r="O23" s="7"/>
      <c r="P23"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2FCDC-DDE7-4F17-94F7-14C53876CDB7}">
  <dimension ref="A1:O21"/>
  <sheetViews>
    <sheetView zoomScale="119" workbookViewId="0"/>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row r="7" spans="1:15" x14ac:dyDescent="0.3">
      <c r="A7" s="7"/>
      <c r="B7" s="7"/>
      <c r="C7" s="7"/>
      <c r="D7" s="7"/>
      <c r="E7" s="7"/>
      <c r="F7" s="7"/>
      <c r="G7" s="7"/>
      <c r="H7" s="7"/>
      <c r="I7" s="7"/>
      <c r="J7" s="7"/>
      <c r="K7" s="7"/>
      <c r="L7" s="7"/>
      <c r="M7" s="7"/>
      <c r="N7" s="7"/>
      <c r="O7" s="7"/>
    </row>
    <row r="8" spans="1:15" x14ac:dyDescent="0.3">
      <c r="A8" s="7"/>
      <c r="B8" s="7"/>
      <c r="C8" s="7"/>
      <c r="D8" s="7"/>
      <c r="E8" s="7"/>
      <c r="F8" s="7"/>
      <c r="G8" s="7"/>
      <c r="H8" s="7"/>
      <c r="I8" s="7"/>
      <c r="J8" s="7"/>
      <c r="K8" s="7"/>
      <c r="L8" s="7"/>
      <c r="M8" s="7"/>
      <c r="N8" s="7"/>
      <c r="O8" s="7"/>
    </row>
    <row r="9" spans="1:15" x14ac:dyDescent="0.3">
      <c r="A9" s="7"/>
      <c r="B9" s="7"/>
      <c r="C9" s="7"/>
      <c r="D9" s="7"/>
      <c r="E9" s="7"/>
      <c r="F9" s="7"/>
      <c r="G9" s="7"/>
      <c r="H9" s="7"/>
      <c r="I9" s="7"/>
      <c r="J9" s="7"/>
      <c r="K9" s="7"/>
      <c r="L9" s="7"/>
      <c r="M9" s="7"/>
      <c r="N9" s="7"/>
      <c r="O9" s="7"/>
    </row>
    <row r="10" spans="1:15" x14ac:dyDescent="0.3">
      <c r="A10" s="7"/>
      <c r="B10" s="7"/>
      <c r="C10" s="7"/>
      <c r="D10" s="7"/>
      <c r="E10" s="7"/>
      <c r="F10" s="7"/>
      <c r="G10" s="7"/>
      <c r="H10" s="7"/>
      <c r="I10" s="7"/>
      <c r="J10" s="7"/>
      <c r="K10" s="7"/>
      <c r="L10" s="7"/>
      <c r="M10" s="7"/>
      <c r="N10" s="7"/>
      <c r="O10" s="7"/>
    </row>
    <row r="11" spans="1:15" x14ac:dyDescent="0.3">
      <c r="A11" s="7"/>
      <c r="B11" s="7"/>
      <c r="C11" s="7"/>
      <c r="D11" s="7"/>
      <c r="E11" s="7"/>
      <c r="F11" s="7"/>
      <c r="G11" s="7"/>
      <c r="H11" s="7"/>
      <c r="I11" s="7"/>
      <c r="J11" s="7"/>
      <c r="K11" s="7"/>
      <c r="L11" s="7"/>
      <c r="M11" s="7"/>
      <c r="N11" s="7"/>
      <c r="O11" s="7"/>
    </row>
    <row r="12" spans="1:15" x14ac:dyDescent="0.3">
      <c r="A12" s="7"/>
      <c r="B12" s="7"/>
      <c r="C12" s="7"/>
      <c r="D12" s="7"/>
      <c r="E12" s="7"/>
      <c r="F12" s="7"/>
      <c r="G12" s="7"/>
      <c r="H12" s="7"/>
      <c r="I12" s="7"/>
      <c r="J12" s="7"/>
      <c r="K12" s="7"/>
      <c r="L12" s="7"/>
      <c r="M12" s="7"/>
      <c r="N12" s="7"/>
      <c r="O12" s="7"/>
    </row>
    <row r="13" spans="1:15" x14ac:dyDescent="0.3">
      <c r="A13" s="7"/>
      <c r="B13" s="7"/>
      <c r="C13" s="7"/>
      <c r="D13" s="7"/>
      <c r="E13" s="7"/>
      <c r="F13" s="7"/>
      <c r="G13" s="7"/>
      <c r="H13" s="7"/>
      <c r="I13" s="7"/>
      <c r="J13" s="7"/>
      <c r="K13" s="7"/>
      <c r="L13" s="7"/>
      <c r="M13" s="7"/>
      <c r="N13" s="7"/>
      <c r="O13" s="7"/>
    </row>
    <row r="14" spans="1:15" x14ac:dyDescent="0.3">
      <c r="A14" s="7"/>
      <c r="B14" s="7"/>
      <c r="C14" s="7"/>
      <c r="D14" s="7"/>
      <c r="E14" s="7"/>
      <c r="F14" s="7"/>
      <c r="G14" s="7"/>
      <c r="H14" s="7"/>
      <c r="I14" s="7"/>
      <c r="J14" s="7"/>
      <c r="K14" s="7"/>
      <c r="L14" s="7"/>
      <c r="M14" s="7"/>
      <c r="N14" s="7"/>
      <c r="O14" s="7"/>
    </row>
    <row r="15" spans="1:15" x14ac:dyDescent="0.3">
      <c r="A15" s="7"/>
      <c r="B15" s="7"/>
      <c r="C15" s="7"/>
      <c r="D15" s="7"/>
      <c r="E15" s="7"/>
      <c r="F15" s="7"/>
      <c r="G15" s="7"/>
      <c r="H15" s="7"/>
      <c r="I15" s="7"/>
      <c r="J15" s="7"/>
      <c r="K15" s="7"/>
      <c r="L15" s="7"/>
      <c r="M15" s="7"/>
      <c r="N15" s="7"/>
      <c r="O15" s="7"/>
    </row>
    <row r="16" spans="1:15" x14ac:dyDescent="0.3">
      <c r="A16" s="7"/>
      <c r="B16" s="7"/>
      <c r="C16" s="7"/>
      <c r="D16" s="7"/>
      <c r="E16" s="7"/>
      <c r="F16" s="7"/>
      <c r="G16" s="7"/>
      <c r="H16" s="7"/>
      <c r="I16" s="7"/>
      <c r="J16" s="7"/>
      <c r="K16" s="7"/>
      <c r="L16" s="7"/>
      <c r="M16" s="7"/>
      <c r="N16" s="7"/>
      <c r="O16" s="7"/>
    </row>
    <row r="17" spans="1:15" x14ac:dyDescent="0.3">
      <c r="A17" s="7"/>
      <c r="B17" s="7"/>
      <c r="C17" s="7"/>
      <c r="D17" s="7"/>
      <c r="E17" s="7"/>
      <c r="F17" s="7"/>
      <c r="G17" s="7"/>
      <c r="H17" s="7"/>
      <c r="I17" s="7"/>
      <c r="J17" s="7"/>
      <c r="K17" s="7"/>
      <c r="L17" s="7"/>
      <c r="M17" s="7"/>
      <c r="N17" s="7"/>
      <c r="O17" s="7"/>
    </row>
    <row r="18" spans="1:15" x14ac:dyDescent="0.3">
      <c r="A18" s="7"/>
      <c r="B18" s="7"/>
      <c r="C18" s="7"/>
      <c r="D18" s="7"/>
      <c r="E18" s="7"/>
      <c r="F18" s="7"/>
      <c r="G18" s="7"/>
      <c r="H18" s="7"/>
      <c r="I18" s="7"/>
      <c r="J18" s="7"/>
      <c r="K18" s="7"/>
      <c r="L18" s="7"/>
      <c r="M18" s="7"/>
      <c r="N18" s="7"/>
      <c r="O18" s="7"/>
    </row>
    <row r="19" spans="1:15" x14ac:dyDescent="0.3">
      <c r="A19" s="7"/>
      <c r="B19" s="7"/>
      <c r="C19" s="7"/>
      <c r="D19" s="7"/>
      <c r="E19" s="7"/>
      <c r="F19" s="7"/>
      <c r="G19" s="7"/>
      <c r="H19" s="7"/>
      <c r="I19" s="7"/>
      <c r="J19" s="7"/>
      <c r="K19" s="7"/>
      <c r="L19" s="7"/>
      <c r="M19" s="7"/>
      <c r="N19" s="7"/>
      <c r="O19" s="7"/>
    </row>
    <row r="20" spans="1:15" x14ac:dyDescent="0.3">
      <c r="A20" s="7"/>
      <c r="B20" s="7" t="s">
        <v>8</v>
      </c>
      <c r="C20" s="7"/>
      <c r="D20" s="7"/>
      <c r="E20" s="7"/>
      <c r="F20" s="7"/>
      <c r="G20" s="7"/>
      <c r="H20" s="7"/>
      <c r="I20" s="7"/>
      <c r="J20" s="7"/>
      <c r="K20" s="7"/>
      <c r="L20" s="7"/>
      <c r="M20" s="7"/>
      <c r="N20" s="7"/>
      <c r="O20" s="7"/>
    </row>
    <row r="21" spans="1:15" x14ac:dyDescent="0.3">
      <c r="A21" s="7"/>
      <c r="B21" s="7"/>
      <c r="C21" s="7"/>
      <c r="D21" s="7"/>
      <c r="E21" s="7"/>
      <c r="F21" s="7"/>
      <c r="G21" s="7"/>
      <c r="H21" s="7"/>
      <c r="I21" s="7"/>
      <c r="J21" s="7"/>
      <c r="K21" s="7"/>
      <c r="L21" s="7"/>
      <c r="M21" s="7"/>
      <c r="N21" s="7"/>
      <c r="O21"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D038B673-CFF3-4C45-88B6-81BAAF9BAA30}">
  <ds:schemaRefs/>
</ds:datastoreItem>
</file>

<file path=customXml/itemProps2.xml><?xml version="1.0" encoding="utf-8"?>
<ds:datastoreItem xmlns:ds="http://schemas.openxmlformats.org/officeDocument/2006/customXml" ds:itemID="{3B07F545-CCF2-4699-BA11-00440ADA4E83}">
  <ds:schemaRefs/>
</ds:datastoreItem>
</file>

<file path=customXml/itemProps3.xml><?xml version="1.0" encoding="utf-8"?>
<ds:datastoreItem xmlns:ds="http://schemas.openxmlformats.org/officeDocument/2006/customXml" ds:itemID="{76A6C880-DE22-4FE3-B548-A3FB16192CE7}">
  <ds:schemaRefs/>
</ds:datastoreItem>
</file>

<file path=customXml/itemProps4.xml><?xml version="1.0" encoding="utf-8"?>
<ds:datastoreItem xmlns:ds="http://schemas.openxmlformats.org/officeDocument/2006/customXml" ds:itemID="{69FA6622-5846-4962-AB5C-97EC3544B675}">
  <ds:schemaRefs/>
</ds:datastoreItem>
</file>

<file path=customXml/itemProps5.xml><?xml version="1.0" encoding="utf-8"?>
<ds:datastoreItem xmlns:ds="http://schemas.openxmlformats.org/officeDocument/2006/customXml" ds:itemID="{0FD98714-3054-4A06-99BE-A741DE26B019}">
  <ds:schemaRefs/>
</ds:datastoreItem>
</file>

<file path=customXml/itemProps6.xml><?xml version="1.0" encoding="utf-8"?>
<ds:datastoreItem xmlns:ds="http://schemas.openxmlformats.org/officeDocument/2006/customXml" ds:itemID="{9E250890-A196-42BF-BDDC-203C9A01BCBD}">
  <ds:schemaRefs/>
</ds:datastoreItem>
</file>

<file path=customXml/itemProps7.xml><?xml version="1.0" encoding="utf-8"?>
<ds:datastoreItem xmlns:ds="http://schemas.openxmlformats.org/officeDocument/2006/customXml" ds:itemID="{4D14B1D4-3DFD-4C3A-B212-C337EC8C0746}">
  <ds:schemaRefs/>
</ds:datastoreItem>
</file>

<file path=customXml/itemProps8.xml><?xml version="1.0" encoding="utf-8"?>
<ds:datastoreItem xmlns:ds="http://schemas.openxmlformats.org/officeDocument/2006/customXml" ds:itemID="{2DF0EBD3-BF5A-494C-BD87-453AD01BE0DE}">
  <ds:schemaRefs/>
</ds:datastoreItem>
</file>

<file path=customXml/itemProps9.xml><?xml version="1.0" encoding="utf-8"?>
<ds:datastoreItem xmlns:ds="http://schemas.openxmlformats.org/officeDocument/2006/customXml" ds:itemID="{D7AE45DD-20E7-46FC-AB0D-720AB2FBE9D2}">
  <ds:schemaRefs>
    <ds:schemaRef ds:uri="http://schemas.microsoft.com/DataMashup"/>
  </ds:schemaRefs>
</ds:datastoreItem>
</file>

<file path=customXml/itemProps10.xml><?xml version="1.0" encoding="utf-8"?>
<ds:datastoreItem xmlns:ds="http://schemas.openxmlformats.org/officeDocument/2006/customXml" ds:itemID="{F7E7CA33-0D96-4E27-938A-3D7FD41ABD69}">
  <ds:schemaRefs/>
</ds:datastoreItem>
</file>

<file path=customXml/itemProps11.xml><?xml version="1.0" encoding="utf-8"?>
<ds:datastoreItem xmlns:ds="http://schemas.openxmlformats.org/officeDocument/2006/customXml" ds:itemID="{508074E7-CD21-4532-83B9-3C5844F3DF14}">
  <ds:schemaRefs/>
</ds:datastoreItem>
</file>

<file path=customXml/itemProps12.xml><?xml version="1.0" encoding="utf-8"?>
<ds:datastoreItem xmlns:ds="http://schemas.openxmlformats.org/officeDocument/2006/customXml" ds:itemID="{A6DE82BA-B505-4BC2-9048-F06CA813ECA0}">
  <ds:schemaRefs/>
</ds:datastoreItem>
</file>

<file path=customXml/itemProps13.xml><?xml version="1.0" encoding="utf-8"?>
<ds:datastoreItem xmlns:ds="http://schemas.openxmlformats.org/officeDocument/2006/customXml" ds:itemID="{AE4DB70C-0624-4FFB-B9B3-2720AD5904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Anam Anam</dc:creator>
  <cp:lastModifiedBy>Anam Anam</cp:lastModifiedBy>
  <dcterms:created xsi:type="dcterms:W3CDTF">2025-12-11T17:29:14Z</dcterms:created>
  <dcterms:modified xsi:type="dcterms:W3CDTF">2026-03-17T15:30:55Z</dcterms:modified>
</cp:coreProperties>
</file>